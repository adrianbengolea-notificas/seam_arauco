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hidePivotFieldList="1" defaultThemeVersion="124226"/>
  <xr:revisionPtr revIDLastSave="0" documentId="13_ncr:1_{059D3C96-4994-4C98-AD53-F3AE83F7AD22}" xr6:coauthVersionLast="47" xr6:coauthVersionMax="47" xr10:uidLastSave="{00000000-0000-0000-0000-000000000000}"/>
  <bookViews>
    <workbookView xWindow="-110" yWindow="-110" windowWidth="19420" windowHeight="10300" tabRatio="755" firstSheet="1" activeTab="1" xr2:uid="{00000000-000D-0000-FFFF-FFFF00000000}"/>
  </bookViews>
  <sheets>
    <sheet name="CERTIFICACIÓN REV 1" sheetId="15" r:id="rId1"/>
    <sheet name="CORRECTIVOS" sheetId="6" r:id="rId2"/>
    <sheet name="BASE AA" sheetId="1" r:id="rId3"/>
    <sheet name="PROG AA" sheetId="28" state="hidden" r:id="rId4"/>
    <sheet name=" avisos AA " sheetId="22" r:id="rId5"/>
    <sheet name="BASE ELEC" sheetId="26" r:id="rId6"/>
    <sheet name="Avisos Elec" sheetId="29" r:id="rId7"/>
    <sheet name="BASE GE" sheetId="27" r:id="rId8"/>
    <sheet name="Avisos Generadores " sheetId="30" r:id="rId9"/>
    <sheet name="recursos" sheetId="31" r:id="rId10"/>
    <sheet name="Digicard" sheetId="42" r:id="rId11"/>
    <sheet name="PARA AVISOS" sheetId="11" state="hidden" r:id="rId12"/>
    <sheet name="Hoja1" sheetId="23" state="hidden" r:id="rId13"/>
  </sheets>
  <definedNames>
    <definedName name="_xlnm._FilterDatabase" localSheetId="4" hidden="1">' avisos AA '!$A$1:$K$45</definedName>
    <definedName name="_xlnm._FilterDatabase" localSheetId="6" hidden="1">'Avisos Elec'!$B$1:$B$34</definedName>
    <definedName name="_xlnm._FilterDatabase" localSheetId="2" hidden="1">'BASE AA'!$A$1:$X$317</definedName>
    <definedName name="_xlnm._FilterDatabase" localSheetId="5" hidden="1">'BASE ELEC'!$A$1:$W$206</definedName>
    <definedName name="_xlnm._FilterDatabase" localSheetId="7" hidden="1">'BASE GE'!$A$4:$AD$18</definedName>
    <definedName name="_xlnm._FilterDatabase" localSheetId="1" hidden="1">CORRECTIVOS!$A$3:$I$37</definedName>
    <definedName name="_xlnm._FilterDatabase" localSheetId="10" hidden="1">Digicard!$A$3:$F$627</definedName>
    <definedName name="_xlnm._FilterDatabase" localSheetId="11" hidden="1">'PARA AVISOS'!$A$1:$T$187</definedName>
    <definedName name="_xlnm._FilterDatabase" localSheetId="3" hidden="1">'PROG AA'!$A$118:$P$267</definedName>
    <definedName name="_xlnm.Print_Area" localSheetId="2">'BASE AA'!$E$1:$G$314</definedName>
    <definedName name="_xlnm.Print_Area" localSheetId="5">'BASE ELEC'!$B$1:$E$197</definedName>
    <definedName name="_xlnm.Print_Area" localSheetId="12">Hoja1!$A$34:$E$65</definedName>
    <definedName name="_xlnm.Criteria" localSheetId="5">'BASE ELEC'!$F:$F</definedName>
  </definedNames>
  <calcPr calcId="191029"/>
  <pivotCaches>
    <pivotCache cacheId="1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9" i="15" l="1"/>
  <c r="M66" i="15"/>
  <c r="O124" i="15"/>
  <c r="O123" i="15"/>
  <c r="O122" i="15"/>
  <c r="O121" i="15"/>
  <c r="A122" i="15"/>
  <c r="O120" i="15"/>
  <c r="O119" i="15"/>
  <c r="O118" i="15"/>
  <c r="O129" i="15"/>
  <c r="O128" i="15"/>
  <c r="O127" i="15"/>
  <c r="O126" i="15"/>
  <c r="O125" i="15"/>
  <c r="M121" i="15"/>
  <c r="K121" i="15"/>
  <c r="I121" i="15"/>
  <c r="G121" i="15"/>
  <c r="E121" i="15"/>
  <c r="I129" i="15"/>
  <c r="C121" i="15"/>
  <c r="O69" i="15"/>
  <c r="M69" i="15"/>
  <c r="G69" i="15"/>
  <c r="K69" i="15"/>
  <c r="O66" i="15"/>
  <c r="O67" i="15"/>
  <c r="O68" i="15"/>
  <c r="I69" i="15"/>
  <c r="G68" i="15"/>
  <c r="E69" i="15"/>
  <c r="G67" i="15"/>
  <c r="K66" i="15"/>
  <c r="K67" i="15"/>
  <c r="K68" i="15"/>
  <c r="G66" i="15"/>
  <c r="M68" i="15"/>
  <c r="I68" i="15"/>
  <c r="E120" i="15"/>
  <c r="M120" i="15"/>
  <c r="I120" i="15"/>
  <c r="C120" i="15"/>
  <c r="C71" i="15"/>
  <c r="D71" i="15" s="1"/>
  <c r="C72" i="15"/>
  <c r="D72" i="15" s="1"/>
  <c r="C73" i="15"/>
  <c r="D73" i="15" s="1"/>
  <c r="C74" i="15"/>
  <c r="D74" i="15" s="1"/>
  <c r="C75" i="15"/>
  <c r="D75" i="15" s="1"/>
  <c r="C76" i="15"/>
  <c r="D76" i="15" s="1"/>
  <c r="C77" i="15"/>
  <c r="D77" i="15" s="1"/>
  <c r="E70" i="15"/>
  <c r="M67" i="15"/>
  <c r="E68" i="15"/>
  <c r="E67" i="15"/>
  <c r="C68" i="15"/>
  <c r="D68" i="15" s="1"/>
  <c r="C67" i="15"/>
  <c r="K37" i="31"/>
  <c r="J37" i="31"/>
  <c r="I37" i="31"/>
  <c r="I40" i="31" s="1"/>
  <c r="H37" i="31"/>
  <c r="H40" i="31" s="1"/>
  <c r="G37" i="31"/>
  <c r="G40" i="31" s="1"/>
  <c r="F37" i="31"/>
  <c r="F40" i="31" s="1"/>
  <c r="E37" i="31"/>
  <c r="E40" i="31" s="1"/>
  <c r="D37" i="31"/>
  <c r="C40" i="31" s="1"/>
  <c r="F68" i="15" l="1"/>
  <c r="H68" i="15" s="1"/>
  <c r="Q121" i="15"/>
  <c r="S121" i="15" s="1"/>
  <c r="Q69" i="15"/>
  <c r="S69" i="15" s="1"/>
  <c r="D69" i="15"/>
  <c r="Q68" i="15"/>
  <c r="S68" i="15" s="1"/>
  <c r="D121" i="15"/>
  <c r="Q120" i="15"/>
  <c r="S120" i="15" s="1"/>
  <c r="K40" i="31"/>
  <c r="J16" i="15"/>
  <c r="J17" i="15"/>
  <c r="J18" i="15"/>
  <c r="J19" i="15"/>
  <c r="J20" i="15"/>
  <c r="J21" i="15"/>
  <c r="J22" i="15"/>
  <c r="J23" i="15"/>
  <c r="J24" i="15"/>
  <c r="J25" i="15"/>
  <c r="J26" i="15"/>
  <c r="J15" i="15"/>
  <c r="C119" i="15"/>
  <c r="M119" i="15"/>
  <c r="I119" i="15"/>
  <c r="E119" i="15"/>
  <c r="I67" i="15"/>
  <c r="D67" i="15"/>
  <c r="F69" i="15" l="1"/>
  <c r="H69" i="15" s="1"/>
  <c r="Q119" i="15"/>
  <c r="Q67" i="15"/>
  <c r="S67" i="15" s="1"/>
  <c r="C118" i="15"/>
  <c r="M118" i="15"/>
  <c r="I118" i="15"/>
  <c r="E118" i="15"/>
  <c r="C129" i="15"/>
  <c r="I66" i="15"/>
  <c r="E66" i="15"/>
  <c r="C66" i="15"/>
  <c r="M77" i="15"/>
  <c r="E77" i="15"/>
  <c r="F77" i="15" s="1"/>
  <c r="E71" i="15"/>
  <c r="E72" i="15"/>
  <c r="E73" i="15"/>
  <c r="E74" i="15"/>
  <c r="F74" i="15" s="1"/>
  <c r="E75" i="15"/>
  <c r="E76" i="15"/>
  <c r="M129" i="15"/>
  <c r="E129" i="15"/>
  <c r="F66" i="15" l="1"/>
  <c r="F67" i="15" s="1"/>
  <c r="Q66" i="15"/>
  <c r="F75" i="15"/>
  <c r="J129" i="15"/>
  <c r="J118" i="15" s="1"/>
  <c r="I77" i="15"/>
  <c r="J77" i="15" s="1"/>
  <c r="J66" i="15" s="1"/>
  <c r="J67" i="15" s="1"/>
  <c r="J68" i="15" s="1"/>
  <c r="J69" i="15" s="1"/>
  <c r="F129" i="15"/>
  <c r="F118" i="15" s="1"/>
  <c r="R129" i="15"/>
  <c r="I133" i="15"/>
  <c r="P37" i="15"/>
  <c r="C128" i="15"/>
  <c r="M76" i="15"/>
  <c r="I76" i="15"/>
  <c r="L69" i="15" l="1"/>
  <c r="H67" i="15"/>
  <c r="G75" i="15"/>
  <c r="G77" i="15"/>
  <c r="G76" i="15"/>
  <c r="H66" i="15"/>
  <c r="H75" i="15"/>
  <c r="F76" i="15"/>
  <c r="Q76" i="15"/>
  <c r="S76" i="15" s="1"/>
  <c r="Q77" i="15"/>
  <c r="S77" i="15" s="1"/>
  <c r="Q129" i="15"/>
  <c r="S129" i="15" s="1"/>
  <c r="J35" i="6"/>
  <c r="H35" i="6"/>
  <c r="H76" i="15" l="1"/>
  <c r="M128" i="15"/>
  <c r="I128" i="15"/>
  <c r="E128" i="15"/>
  <c r="R128" i="15"/>
  <c r="Q128" i="15" l="1"/>
  <c r="S128" i="15" s="1"/>
  <c r="G173" i="15"/>
  <c r="G172" i="15"/>
  <c r="G171" i="15"/>
  <c r="E171" i="15"/>
  <c r="I171" i="15" s="1"/>
  <c r="K171" i="15" s="1"/>
  <c r="I75" i="15"/>
  <c r="C126" i="15"/>
  <c r="C127" i="15"/>
  <c r="F71" i="15" l="1"/>
  <c r="M127" i="15"/>
  <c r="I127" i="15"/>
  <c r="E127" i="15"/>
  <c r="R127" i="15"/>
  <c r="M75" i="15"/>
  <c r="Q75" i="15" s="1"/>
  <c r="S75" i="15" s="1"/>
  <c r="I71" i="15"/>
  <c r="J71" i="15" s="1"/>
  <c r="F72" i="15" l="1"/>
  <c r="Q127" i="15"/>
  <c r="S127" i="15" s="1"/>
  <c r="M126" i="15"/>
  <c r="I126" i="15"/>
  <c r="E126" i="15"/>
  <c r="F126" i="15" s="1"/>
  <c r="F127" i="15" s="1"/>
  <c r="I35" i="6"/>
  <c r="F73" i="15" l="1"/>
  <c r="F128" i="15"/>
  <c r="R126" i="15" l="1"/>
  <c r="M74" i="15"/>
  <c r="I74" i="15"/>
  <c r="M73" i="15"/>
  <c r="I73" i="15"/>
  <c r="Q126" i="15" l="1"/>
  <c r="S126" i="15" s="1"/>
  <c r="Q74" i="15"/>
  <c r="S74" i="15" s="1"/>
  <c r="C125" i="15"/>
  <c r="M125" i="15"/>
  <c r="I125" i="15"/>
  <c r="E125" i="15"/>
  <c r="R125" i="15"/>
  <c r="M124" i="15"/>
  <c r="I124" i="15"/>
  <c r="E124" i="15"/>
  <c r="C124" i="15"/>
  <c r="M72" i="15"/>
  <c r="I72" i="15"/>
  <c r="J72" i="15" s="1"/>
  <c r="J73" i="15" s="1"/>
  <c r="J74" i="15" s="1"/>
  <c r="J75" i="15" s="1"/>
  <c r="J76" i="15" s="1"/>
  <c r="H77" i="15" l="1"/>
  <c r="Q73" i="15"/>
  <c r="S73" i="15" s="1"/>
  <c r="Q125" i="15"/>
  <c r="S125" i="15" s="1"/>
  <c r="R124" i="15"/>
  <c r="C123" i="15"/>
  <c r="M123" i="15"/>
  <c r="N123" i="15" s="1"/>
  <c r="N124" i="15" s="1"/>
  <c r="N125" i="15" s="1"/>
  <c r="N126" i="15" s="1"/>
  <c r="N127" i="15" s="1"/>
  <c r="I123" i="15"/>
  <c r="J123" i="15" s="1"/>
  <c r="J124" i="15" s="1"/>
  <c r="J125" i="15" s="1"/>
  <c r="J126" i="15" s="1"/>
  <c r="J127" i="15" s="1"/>
  <c r="E123" i="15"/>
  <c r="R89" i="15"/>
  <c r="P89" i="15"/>
  <c r="R123" i="15"/>
  <c r="M71" i="15"/>
  <c r="N71" i="15" s="1"/>
  <c r="G129" i="15" l="1"/>
  <c r="H129" i="15" s="1"/>
  <c r="G118" i="15"/>
  <c r="G128" i="15"/>
  <c r="H128" i="15" s="1"/>
  <c r="G127" i="15"/>
  <c r="H127" i="15" s="1"/>
  <c r="P127" i="15"/>
  <c r="J128" i="15"/>
  <c r="N128" i="15"/>
  <c r="N129" i="15" s="1"/>
  <c r="N118" i="15" s="1"/>
  <c r="Q124" i="15"/>
  <c r="S124" i="15" s="1"/>
  <c r="Q72" i="15"/>
  <c r="S72" i="15" s="1"/>
  <c r="Q123" i="15"/>
  <c r="S123" i="15" s="1"/>
  <c r="Q71" i="15"/>
  <c r="S71" i="15" s="1"/>
  <c r="P118" i="15" l="1"/>
  <c r="P128" i="15"/>
  <c r="P129" i="15"/>
  <c r="R122" i="15" l="1"/>
  <c r="R37" i="15"/>
  <c r="Q37" i="15"/>
  <c r="Q89" i="15"/>
  <c r="O84" i="15"/>
  <c r="O87" i="15"/>
  <c r="K77" i="15" l="1"/>
  <c r="L77" i="15" s="1"/>
  <c r="K129" i="15"/>
  <c r="L129" i="15" s="1"/>
  <c r="K118" i="15"/>
  <c r="O77" i="15"/>
  <c r="K76" i="15"/>
  <c r="L76" i="15" s="1"/>
  <c r="O76" i="15"/>
  <c r="K75" i="15"/>
  <c r="O75" i="15"/>
  <c r="K128" i="15"/>
  <c r="L128" i="15" s="1"/>
  <c r="K127" i="15"/>
  <c r="L127" i="15" s="1"/>
  <c r="O89" i="15"/>
  <c r="S122" i="15"/>
  <c r="E11" i="15"/>
  <c r="I16" i="15" s="1"/>
  <c r="D129" i="15" l="1"/>
  <c r="D120" i="15"/>
  <c r="D128" i="15"/>
  <c r="D127" i="15"/>
  <c r="D126" i="15"/>
  <c r="D125" i="15"/>
  <c r="D124" i="15"/>
  <c r="D123" i="15"/>
  <c r="D122" i="15"/>
  <c r="I23" i="15"/>
  <c r="I22" i="15"/>
  <c r="I21" i="15"/>
  <c r="I20" i="15"/>
  <c r="I15" i="15"/>
  <c r="I19" i="15"/>
  <c r="I26" i="15"/>
  <c r="I18" i="15"/>
  <c r="I25" i="15"/>
  <c r="I17" i="15"/>
  <c r="I24" i="15"/>
  <c r="H37" i="6"/>
  <c r="I27" i="15" l="1"/>
  <c r="E162" i="15" l="1"/>
  <c r="F162" i="15" s="1"/>
  <c r="G162" i="15" s="1"/>
  <c r="E163" i="15"/>
  <c r="F163" i="15" l="1"/>
  <c r="F119" i="15"/>
  <c r="F120" i="15" s="1"/>
  <c r="F121" i="15" s="1"/>
  <c r="H121" i="15" s="1"/>
  <c r="F122" i="15" l="1"/>
  <c r="F123" i="15" s="1"/>
  <c r="N119" i="15"/>
  <c r="S119" i="15"/>
  <c r="L118" i="15"/>
  <c r="L66" i="15"/>
  <c r="O37" i="15"/>
  <c r="N120" i="15" l="1"/>
  <c r="F124" i="15"/>
  <c r="F125" i="15" s="1"/>
  <c r="J119" i="15"/>
  <c r="Q118" i="15"/>
  <c r="P120" i="15" l="1"/>
  <c r="N121" i="15"/>
  <c r="J120" i="15"/>
  <c r="N72" i="15"/>
  <c r="N73" i="15" s="1"/>
  <c r="N74" i="15" s="1"/>
  <c r="N75" i="15" s="1"/>
  <c r="N76" i="15" s="1"/>
  <c r="D66" i="15"/>
  <c r="N7" i="15"/>
  <c r="S33" i="15"/>
  <c r="S34" i="15"/>
  <c r="S35" i="15"/>
  <c r="S32" i="15"/>
  <c r="J121" i="15" l="1"/>
  <c r="L121" i="15" s="1"/>
  <c r="N122" i="15"/>
  <c r="P121" i="15"/>
  <c r="J122" i="15"/>
  <c r="N77" i="15"/>
  <c r="N66" i="15" s="1"/>
  <c r="P76" i="15"/>
  <c r="S37" i="15"/>
  <c r="S66" i="15"/>
  <c r="H162" i="15"/>
  <c r="P77" i="15" l="1"/>
  <c r="D118" i="15"/>
  <c r="D119" i="15"/>
  <c r="P66" i="15" l="1"/>
  <c r="N67" i="15"/>
  <c r="N68" i="15" s="1"/>
  <c r="N69" i="15" s="1"/>
  <c r="R118" i="15"/>
  <c r="P68" i="15" l="1"/>
  <c r="P69" i="15"/>
  <c r="P67" i="15"/>
  <c r="I162" i="15"/>
  <c r="K162" i="15" s="1"/>
  <c r="E164" i="15"/>
  <c r="I163" i="15"/>
  <c r="S118" i="15"/>
  <c r="S84" i="15" l="1"/>
  <c r="F164" i="15" l="1"/>
  <c r="E169" i="15" l="1"/>
  <c r="I169" i="15" s="1"/>
  <c r="E173" i="15" l="1"/>
  <c r="E172" i="15"/>
  <c r="E170" i="15"/>
  <c r="I170" i="15" s="1"/>
  <c r="K170" i="15" s="1"/>
  <c r="K169" i="15"/>
  <c r="E168" i="15"/>
  <c r="I168" i="15" s="1"/>
  <c r="K168" i="15" s="1"/>
  <c r="E167" i="15"/>
  <c r="E166" i="15"/>
  <c r="I166" i="15" s="1"/>
  <c r="K166" i="15" s="1"/>
  <c r="E165" i="15"/>
  <c r="K165" i="15" s="1"/>
  <c r="I164" i="15"/>
  <c r="K164" i="15" s="1"/>
  <c r="K163" i="15"/>
  <c r="A163" i="15"/>
  <c r="A119" i="15"/>
  <c r="K119" i="15" s="1"/>
  <c r="A67" i="15"/>
  <c r="L67" i="15" s="1"/>
  <c r="I167" i="15" l="1"/>
  <c r="K167" i="15" s="1"/>
  <c r="F167" i="15"/>
  <c r="I173" i="15"/>
  <c r="K173" i="15" s="1"/>
  <c r="F173" i="15"/>
  <c r="H173" i="15" s="1"/>
  <c r="I172" i="15"/>
  <c r="K172" i="15" s="1"/>
  <c r="L119" i="15"/>
  <c r="G119" i="15"/>
  <c r="P119" i="15"/>
  <c r="A68" i="15"/>
  <c r="L68" i="15" s="1"/>
  <c r="G163" i="15"/>
  <c r="H163" i="15" s="1"/>
  <c r="A120" i="15"/>
  <c r="A164" i="15"/>
  <c r="G164" i="15" s="1"/>
  <c r="H164" i="15" s="1"/>
  <c r="G120" i="15" l="1"/>
  <c r="H120" i="15" s="1"/>
  <c r="K120" i="15"/>
  <c r="L120" i="15" s="1"/>
  <c r="H119" i="15"/>
  <c r="H118" i="15"/>
  <c r="A69" i="15"/>
  <c r="A70" i="15" s="1"/>
  <c r="F168" i="15"/>
  <c r="A121" i="15"/>
  <c r="A165" i="15"/>
  <c r="A71" i="15" l="1"/>
  <c r="A166" i="15"/>
  <c r="G166" i="15" s="1"/>
  <c r="O71" i="15" l="1"/>
  <c r="P71" i="15" s="1"/>
  <c r="G71" i="15"/>
  <c r="H71" i="15" s="1"/>
  <c r="A72" i="15"/>
  <c r="G72" i="15" s="1"/>
  <c r="H72" i="15" s="1"/>
  <c r="K71" i="15"/>
  <c r="L71" i="15" s="1"/>
  <c r="P122" i="15"/>
  <c r="K122" i="15"/>
  <c r="L122" i="15" s="1"/>
  <c r="G122" i="15"/>
  <c r="H122" i="15" s="1"/>
  <c r="A123" i="15"/>
  <c r="A167" i="15"/>
  <c r="G167" i="15" s="1"/>
  <c r="H167" i="15" s="1"/>
  <c r="F165" i="15"/>
  <c r="P123" i="15" l="1"/>
  <c r="G123" i="15"/>
  <c r="H123" i="15" s="1"/>
  <c r="K123" i="15"/>
  <c r="L123" i="15" s="1"/>
  <c r="A73" i="15"/>
  <c r="G73" i="15" s="1"/>
  <c r="H73" i="15" s="1"/>
  <c r="K72" i="15"/>
  <c r="L72" i="15" s="1"/>
  <c r="O72" i="15"/>
  <c r="P72" i="15" s="1"/>
  <c r="F166" i="15"/>
  <c r="H166" i="15" s="1"/>
  <c r="A124" i="15"/>
  <c r="A168" i="15"/>
  <c r="A74" i="15" l="1"/>
  <c r="G74" i="15" s="1"/>
  <c r="H74" i="15" s="1"/>
  <c r="K73" i="15"/>
  <c r="L73" i="15" s="1"/>
  <c r="O73" i="15"/>
  <c r="P73" i="15" s="1"/>
  <c r="G124" i="15"/>
  <c r="H124" i="15" s="1"/>
  <c r="P124" i="15"/>
  <c r="K124" i="15"/>
  <c r="L124" i="15" s="1"/>
  <c r="A125" i="15"/>
  <c r="A169" i="15"/>
  <c r="K74" i="15" l="1"/>
  <c r="L74" i="15" s="1"/>
  <c r="A75" i="15"/>
  <c r="O74" i="15"/>
  <c r="P74" i="15" s="1"/>
  <c r="G125" i="15"/>
  <c r="H125" i="15" s="1"/>
  <c r="P125" i="15"/>
  <c r="K125" i="15"/>
  <c r="L125" i="15" s="1"/>
  <c r="A126" i="15"/>
  <c r="A170" i="15"/>
  <c r="F169" i="15"/>
  <c r="F170" i="15" s="1"/>
  <c r="F171" i="15" s="1"/>
  <c r="F172" i="15" s="1"/>
  <c r="E161" i="15"/>
  <c r="I161" i="15" s="1"/>
  <c r="K161" i="15" s="1"/>
  <c r="E160" i="15"/>
  <c r="I160" i="15" s="1"/>
  <c r="K160" i="15" s="1"/>
  <c r="E159" i="15"/>
  <c r="I159" i="15" s="1"/>
  <c r="K159" i="15" s="1"/>
  <c r="E158" i="15"/>
  <c r="I158" i="15" s="1"/>
  <c r="K158" i="15" s="1"/>
  <c r="E157" i="15"/>
  <c r="I157" i="15" s="1"/>
  <c r="K157" i="15" s="1"/>
  <c r="E156" i="15"/>
  <c r="I156" i="15" s="1"/>
  <c r="K156" i="15" s="1"/>
  <c r="E155" i="15"/>
  <c r="I155" i="15" s="1"/>
  <c r="K155" i="15" s="1"/>
  <c r="E154" i="15"/>
  <c r="I154" i="15" s="1"/>
  <c r="K154" i="15" s="1"/>
  <c r="E153" i="15"/>
  <c r="I153" i="15" s="1"/>
  <c r="K153" i="15" s="1"/>
  <c r="E152" i="15"/>
  <c r="I152" i="15" s="1"/>
  <c r="K152" i="15" s="1"/>
  <c r="E151" i="15"/>
  <c r="I151" i="15" s="1"/>
  <c r="K151" i="15" s="1"/>
  <c r="A151" i="15"/>
  <c r="A152" i="15" s="1"/>
  <c r="G152" i="15" s="1"/>
  <c r="E150" i="15"/>
  <c r="I150" i="15" s="1"/>
  <c r="K150" i="15" s="1"/>
  <c r="D31" i="15" l="1"/>
  <c r="A76" i="15"/>
  <c r="A77" i="15" s="1"/>
  <c r="L75" i="15"/>
  <c r="P75" i="15"/>
  <c r="G126" i="15"/>
  <c r="H126" i="15" s="1"/>
  <c r="P126" i="15"/>
  <c r="K126" i="15"/>
  <c r="L126" i="15" s="1"/>
  <c r="A127" i="15"/>
  <c r="A171" i="15"/>
  <c r="G151" i="15"/>
  <c r="F150" i="15"/>
  <c r="A153" i="15"/>
  <c r="M117" i="15"/>
  <c r="M116" i="15"/>
  <c r="M115" i="15"/>
  <c r="M114" i="15"/>
  <c r="M113" i="15"/>
  <c r="M112" i="15"/>
  <c r="M111" i="15"/>
  <c r="M110" i="15"/>
  <c r="M109" i="15"/>
  <c r="M108" i="15"/>
  <c r="M107" i="15"/>
  <c r="M106" i="15"/>
  <c r="N106" i="15" s="1"/>
  <c r="K112" i="15"/>
  <c r="K106" i="15"/>
  <c r="I117" i="15"/>
  <c r="I116" i="15"/>
  <c r="I115" i="15"/>
  <c r="I114" i="15"/>
  <c r="I113" i="15"/>
  <c r="I112" i="15"/>
  <c r="I111" i="15"/>
  <c r="I110" i="15"/>
  <c r="I109" i="15"/>
  <c r="I108" i="15"/>
  <c r="I107" i="15"/>
  <c r="I106" i="15"/>
  <c r="J106" i="15" s="1"/>
  <c r="G115" i="15"/>
  <c r="G112" i="15"/>
  <c r="G109" i="15"/>
  <c r="G106" i="15"/>
  <c r="E117" i="15"/>
  <c r="E116" i="15"/>
  <c r="E115" i="15"/>
  <c r="F115" i="15" s="1"/>
  <c r="E114" i="15"/>
  <c r="E113" i="15"/>
  <c r="E112" i="15"/>
  <c r="F112" i="15" s="1"/>
  <c r="E111" i="15"/>
  <c r="E110" i="15"/>
  <c r="E109" i="15"/>
  <c r="F109" i="15" s="1"/>
  <c r="E108" i="15"/>
  <c r="E107" i="15"/>
  <c r="E106" i="15"/>
  <c r="F106" i="15" s="1"/>
  <c r="C117" i="15"/>
  <c r="C116" i="15"/>
  <c r="C115" i="15"/>
  <c r="C114" i="15"/>
  <c r="C113" i="15"/>
  <c r="C112" i="15"/>
  <c r="C111" i="15"/>
  <c r="C110" i="15"/>
  <c r="C109" i="15"/>
  <c r="C108" i="15"/>
  <c r="C107" i="15"/>
  <c r="C106" i="15"/>
  <c r="A107" i="15"/>
  <c r="O106" i="15"/>
  <c r="M65" i="15"/>
  <c r="M64" i="15"/>
  <c r="M63" i="15"/>
  <c r="M62" i="15"/>
  <c r="M61" i="15"/>
  <c r="M60" i="15"/>
  <c r="M59" i="15"/>
  <c r="M58" i="15"/>
  <c r="M57" i="15"/>
  <c r="M56" i="15"/>
  <c r="M55" i="15"/>
  <c r="M54" i="15"/>
  <c r="N54" i="15" s="1"/>
  <c r="E65" i="15"/>
  <c r="E64" i="15"/>
  <c r="E63" i="15"/>
  <c r="F63" i="15" s="1"/>
  <c r="E62" i="15"/>
  <c r="E61" i="15"/>
  <c r="E60" i="15"/>
  <c r="F60" i="15" s="1"/>
  <c r="E59" i="15"/>
  <c r="E58" i="15"/>
  <c r="E57" i="15"/>
  <c r="F57" i="15" s="1"/>
  <c r="C65" i="15"/>
  <c r="C64" i="15"/>
  <c r="C63" i="15"/>
  <c r="C62" i="15"/>
  <c r="C61" i="15"/>
  <c r="C60" i="15"/>
  <c r="C59" i="15"/>
  <c r="C58" i="15"/>
  <c r="C57" i="15"/>
  <c r="I65" i="15"/>
  <c r="I64" i="15"/>
  <c r="I63" i="15"/>
  <c r="I62" i="15"/>
  <c r="I61" i="15"/>
  <c r="I60" i="15"/>
  <c r="J60" i="15" s="1"/>
  <c r="I59" i="15"/>
  <c r="I58" i="15"/>
  <c r="I57" i="15"/>
  <c r="I56" i="15"/>
  <c r="I55" i="15"/>
  <c r="I54" i="15"/>
  <c r="J54" i="15" s="1"/>
  <c r="E56" i="15"/>
  <c r="E55" i="15"/>
  <c r="E54" i="15"/>
  <c r="F54" i="15" s="1"/>
  <c r="C56" i="15"/>
  <c r="C55" i="15"/>
  <c r="C54" i="15"/>
  <c r="A55" i="15"/>
  <c r="A56" i="15" s="1"/>
  <c r="D83" i="15" l="1"/>
  <c r="A128" i="15"/>
  <c r="A172" i="15"/>
  <c r="K113" i="15"/>
  <c r="H106" i="15"/>
  <c r="K107" i="15"/>
  <c r="G110" i="15"/>
  <c r="G113" i="15"/>
  <c r="P106" i="15"/>
  <c r="G107" i="15"/>
  <c r="G116" i="15"/>
  <c r="F151" i="15"/>
  <c r="H150" i="15"/>
  <c r="G153" i="15"/>
  <c r="A154" i="15"/>
  <c r="J113" i="15"/>
  <c r="J114" i="15" s="1"/>
  <c r="Q113" i="15"/>
  <c r="Q115" i="15"/>
  <c r="Q117" i="15"/>
  <c r="Q110" i="15"/>
  <c r="N107" i="15"/>
  <c r="N108" i="15" s="1"/>
  <c r="F107" i="15"/>
  <c r="F108" i="15" s="1"/>
  <c r="Q114" i="15"/>
  <c r="Q116" i="15"/>
  <c r="Q107" i="15"/>
  <c r="Q111" i="15"/>
  <c r="Q109" i="15"/>
  <c r="Q108" i="15"/>
  <c r="Q112" i="15"/>
  <c r="H115" i="15"/>
  <c r="F116" i="15"/>
  <c r="H109" i="15"/>
  <c r="F110" i="15"/>
  <c r="H112" i="15"/>
  <c r="F113" i="15"/>
  <c r="J107" i="15"/>
  <c r="Q106" i="15"/>
  <c r="O107" i="15"/>
  <c r="A108" i="15"/>
  <c r="Q59" i="15"/>
  <c r="Q62" i="15"/>
  <c r="Q58" i="15"/>
  <c r="Q57" i="15"/>
  <c r="Q65" i="15"/>
  <c r="Q61" i="15"/>
  <c r="Q63" i="15"/>
  <c r="Q56" i="15"/>
  <c r="Q55" i="15"/>
  <c r="Q64" i="15"/>
  <c r="J55" i="15"/>
  <c r="J61" i="15"/>
  <c r="F55" i="15"/>
  <c r="N55" i="15"/>
  <c r="F58" i="15"/>
  <c r="F64" i="15"/>
  <c r="A57" i="15"/>
  <c r="F61" i="15"/>
  <c r="Q54" i="15"/>
  <c r="Q60" i="15"/>
  <c r="A129" i="15" l="1"/>
  <c r="A173" i="15"/>
  <c r="G108" i="15"/>
  <c r="H108" i="15" s="1"/>
  <c r="G114" i="15"/>
  <c r="G111" i="15"/>
  <c r="K108" i="15"/>
  <c r="K114" i="15"/>
  <c r="L114" i="15" s="1"/>
  <c r="G117" i="15"/>
  <c r="G154" i="15"/>
  <c r="A155" i="15"/>
  <c r="H151" i="15"/>
  <c r="F152" i="15"/>
  <c r="L113" i="15"/>
  <c r="P107" i="15"/>
  <c r="A109" i="15"/>
  <c r="O108" i="15"/>
  <c r="P108" i="15" s="1"/>
  <c r="H116" i="15"/>
  <c r="F117" i="15"/>
  <c r="J108" i="15"/>
  <c r="L107" i="15"/>
  <c r="H113" i="15"/>
  <c r="F114" i="15"/>
  <c r="J115" i="15"/>
  <c r="F111" i="15"/>
  <c r="N109" i="15"/>
  <c r="N56" i="15"/>
  <c r="F56" i="15"/>
  <c r="F65" i="15"/>
  <c r="F62" i="15"/>
  <c r="J56" i="15"/>
  <c r="F59" i="15"/>
  <c r="A58" i="15"/>
  <c r="J62" i="15"/>
  <c r="I105" i="15"/>
  <c r="G97" i="15"/>
  <c r="G94" i="15"/>
  <c r="H117" i="15" l="1"/>
  <c r="K109" i="15"/>
  <c r="K115" i="15"/>
  <c r="L115" i="15" s="1"/>
  <c r="H111" i="15"/>
  <c r="H114" i="15"/>
  <c r="F153" i="15"/>
  <c r="H152" i="15"/>
  <c r="G155" i="15"/>
  <c r="A156" i="15"/>
  <c r="N110" i="15"/>
  <c r="A110" i="15"/>
  <c r="O109" i="15"/>
  <c r="P109" i="15" s="1"/>
  <c r="J109" i="15"/>
  <c r="L108" i="15"/>
  <c r="J116" i="15"/>
  <c r="N57" i="15"/>
  <c r="N58" i="15" s="1"/>
  <c r="J57" i="15"/>
  <c r="J63" i="15"/>
  <c r="A59" i="15"/>
  <c r="K110" i="15" l="1"/>
  <c r="K116" i="15"/>
  <c r="L116" i="15" s="1"/>
  <c r="A157" i="15"/>
  <c r="G156" i="15"/>
  <c r="H153" i="15"/>
  <c r="F154" i="15"/>
  <c r="J110" i="15"/>
  <c r="L109" i="15"/>
  <c r="N111" i="15"/>
  <c r="O110" i="15"/>
  <c r="P110" i="15" s="1"/>
  <c r="A111" i="15"/>
  <c r="J117" i="15"/>
  <c r="J58" i="15"/>
  <c r="N59" i="15"/>
  <c r="J64" i="15"/>
  <c r="A60" i="15"/>
  <c r="I99" i="15"/>
  <c r="J100" i="15" s="1"/>
  <c r="K111" i="15" l="1"/>
  <c r="K117" i="15"/>
  <c r="L117" i="15" s="1"/>
  <c r="H154" i="15"/>
  <c r="F155" i="15"/>
  <c r="A158" i="15"/>
  <c r="G157" i="15"/>
  <c r="N112" i="15"/>
  <c r="O111" i="15"/>
  <c r="P111" i="15" s="1"/>
  <c r="A112" i="15"/>
  <c r="L110" i="15"/>
  <c r="J111" i="15"/>
  <c r="J59" i="15"/>
  <c r="A61" i="15"/>
  <c r="J65" i="15"/>
  <c r="N60" i="15"/>
  <c r="L111" i="15" l="1"/>
  <c r="H155" i="15"/>
  <c r="F156" i="15"/>
  <c r="A159" i="15"/>
  <c r="G158" i="15"/>
  <c r="A113" i="15"/>
  <c r="O112" i="15"/>
  <c r="P112" i="15" s="1"/>
  <c r="N113" i="15"/>
  <c r="N61" i="15"/>
  <c r="A62" i="15"/>
  <c r="A160" i="15" l="1"/>
  <c r="G159" i="15"/>
  <c r="F157" i="15"/>
  <c r="H156" i="15"/>
  <c r="N114" i="15"/>
  <c r="A114" i="15"/>
  <c r="O113" i="15"/>
  <c r="P113" i="15" s="1"/>
  <c r="A63" i="15"/>
  <c r="N62" i="15"/>
  <c r="G160" i="15" l="1"/>
  <c r="A161" i="15"/>
  <c r="G161" i="15" s="1"/>
  <c r="F158" i="15"/>
  <c r="H157" i="15"/>
  <c r="N115" i="15"/>
  <c r="A115" i="15"/>
  <c r="O114" i="15"/>
  <c r="P114" i="15" s="1"/>
  <c r="A64" i="15"/>
  <c r="N63" i="15"/>
  <c r="F159" i="15" l="1"/>
  <c r="H158" i="15"/>
  <c r="N116" i="15"/>
  <c r="A116" i="15"/>
  <c r="O115" i="15"/>
  <c r="P115" i="15" s="1"/>
  <c r="N64" i="15"/>
  <c r="A65" i="15"/>
  <c r="I47" i="15"/>
  <c r="H159" i="15" l="1"/>
  <c r="F160" i="15"/>
  <c r="A117" i="15"/>
  <c r="O117" i="15" s="1"/>
  <c r="O116" i="15"/>
  <c r="P116" i="15" s="1"/>
  <c r="N117" i="15"/>
  <c r="N65" i="15"/>
  <c r="C53" i="15"/>
  <c r="C52" i="15"/>
  <c r="C51" i="15"/>
  <c r="C50" i="15"/>
  <c r="C49" i="15"/>
  <c r="C48" i="15"/>
  <c r="C105" i="15"/>
  <c r="C104" i="15"/>
  <c r="C103" i="15"/>
  <c r="C102" i="15"/>
  <c r="C101" i="15"/>
  <c r="C100" i="15"/>
  <c r="C99" i="15"/>
  <c r="C98" i="15"/>
  <c r="C97" i="15"/>
  <c r="P117" i="15" l="1"/>
  <c r="H160" i="15"/>
  <c r="F161" i="15"/>
  <c r="H161" i="15" s="1"/>
  <c r="C43" i="15" l="1"/>
  <c r="M105" i="15" l="1"/>
  <c r="M104" i="15"/>
  <c r="M103" i="15"/>
  <c r="M102" i="15"/>
  <c r="M101" i="15"/>
  <c r="M100" i="15"/>
  <c r="M99" i="15"/>
  <c r="M98" i="15"/>
  <c r="M97" i="15"/>
  <c r="M96" i="15"/>
  <c r="M95" i="15"/>
  <c r="M94" i="15"/>
  <c r="I104" i="15"/>
  <c r="I103" i="15"/>
  <c r="I102" i="15"/>
  <c r="I101" i="15"/>
  <c r="I98" i="15"/>
  <c r="I97" i="15"/>
  <c r="I96" i="15"/>
  <c r="I95" i="15"/>
  <c r="I94" i="15"/>
  <c r="E105" i="15"/>
  <c r="E104" i="15"/>
  <c r="E103" i="15"/>
  <c r="F103" i="15" s="1"/>
  <c r="E102" i="15"/>
  <c r="E101" i="15"/>
  <c r="E100" i="15"/>
  <c r="F100" i="15" s="1"/>
  <c r="E99" i="15"/>
  <c r="E98" i="15"/>
  <c r="E97" i="15"/>
  <c r="F97" i="15" s="1"/>
  <c r="E96" i="15"/>
  <c r="E95" i="15"/>
  <c r="E94" i="15"/>
  <c r="C96" i="15"/>
  <c r="C95" i="15"/>
  <c r="C94" i="15"/>
  <c r="C42" i="15"/>
  <c r="Q99" i="15" l="1"/>
  <c r="O267" i="28"/>
  <c r="O270" i="28" s="1"/>
  <c r="N267" i="28"/>
  <c r="N270" i="28" s="1"/>
  <c r="M267" i="28"/>
  <c r="M270" i="28" s="1"/>
  <c r="L267" i="28"/>
  <c r="L270" i="28" s="1"/>
  <c r="K267" i="28"/>
  <c r="K270" i="28" s="1"/>
  <c r="J267" i="28"/>
  <c r="J270" i="28" s="1"/>
  <c r="I267" i="28"/>
  <c r="I270" i="28" s="1"/>
  <c r="H267" i="28"/>
  <c r="H270" i="28" s="1"/>
  <c r="G267" i="28"/>
  <c r="G270" i="28" s="1"/>
  <c r="F267" i="28"/>
  <c r="F270" i="28" s="1"/>
  <c r="E267" i="28"/>
  <c r="E270" i="28" s="1"/>
  <c r="D267" i="28"/>
  <c r="D270" i="28" s="1"/>
  <c r="B267" i="28"/>
  <c r="E149" i="15"/>
  <c r="I149" i="15" s="1"/>
  <c r="K149" i="15" s="1"/>
  <c r="E148" i="15"/>
  <c r="I148" i="15" s="1"/>
  <c r="K148" i="15" s="1"/>
  <c r="E147" i="15"/>
  <c r="I147" i="15" s="1"/>
  <c r="K147" i="15" s="1"/>
  <c r="E146" i="15"/>
  <c r="I146" i="15" s="1"/>
  <c r="K146" i="15" s="1"/>
  <c r="E145" i="15"/>
  <c r="I145" i="15" s="1"/>
  <c r="K145" i="15" s="1"/>
  <c r="E144" i="15"/>
  <c r="I144" i="15" s="1"/>
  <c r="K144" i="15" s="1"/>
  <c r="E143" i="15"/>
  <c r="I143" i="15" s="1"/>
  <c r="K143" i="15" s="1"/>
  <c r="E142" i="15"/>
  <c r="I142" i="15" s="1"/>
  <c r="K142" i="15" s="1"/>
  <c r="E141" i="15"/>
  <c r="I141" i="15" s="1"/>
  <c r="K141" i="15" s="1"/>
  <c r="E140" i="15"/>
  <c r="I140" i="15" s="1"/>
  <c r="K140" i="15" s="1"/>
  <c r="E139" i="15"/>
  <c r="I139" i="15" s="1"/>
  <c r="K139" i="15" s="1"/>
  <c r="A139" i="15"/>
  <c r="A140" i="15" s="1"/>
  <c r="E138" i="15"/>
  <c r="F138" i="15" s="1"/>
  <c r="H138" i="15" s="1"/>
  <c r="A95" i="15"/>
  <c r="N94" i="15"/>
  <c r="J94" i="15"/>
  <c r="J95" i="15" s="1"/>
  <c r="F94" i="15"/>
  <c r="F95" i="15" s="1"/>
  <c r="O94" i="15"/>
  <c r="S88" i="15"/>
  <c r="M53" i="15"/>
  <c r="I53" i="15"/>
  <c r="E53" i="15"/>
  <c r="M52" i="15"/>
  <c r="I52" i="15"/>
  <c r="E52" i="15"/>
  <c r="M51" i="15"/>
  <c r="I51" i="15"/>
  <c r="E51" i="15"/>
  <c r="F51" i="15" s="1"/>
  <c r="M50" i="15"/>
  <c r="I50" i="15"/>
  <c r="E50" i="15"/>
  <c r="M49" i="15"/>
  <c r="I49" i="15"/>
  <c r="E49" i="15"/>
  <c r="M48" i="15"/>
  <c r="I48" i="15"/>
  <c r="J48" i="15" s="1"/>
  <c r="F48" i="15"/>
  <c r="M47" i="15"/>
  <c r="C47" i="15"/>
  <c r="M46" i="15"/>
  <c r="I46" i="15"/>
  <c r="E46" i="15"/>
  <c r="C46" i="15"/>
  <c r="M45" i="15"/>
  <c r="I45" i="15"/>
  <c r="E45" i="15"/>
  <c r="F45" i="15" s="1"/>
  <c r="C45" i="15"/>
  <c r="M44" i="15"/>
  <c r="I44" i="15"/>
  <c r="E44" i="15"/>
  <c r="C44" i="15"/>
  <c r="M43" i="15"/>
  <c r="I43" i="15"/>
  <c r="E43" i="15"/>
  <c r="A43" i="15"/>
  <c r="M42" i="15"/>
  <c r="N42" i="15" s="1"/>
  <c r="I42" i="15"/>
  <c r="J42" i="15" s="1"/>
  <c r="E42" i="15"/>
  <c r="F42" i="15" s="1"/>
  <c r="F43" i="15" l="1"/>
  <c r="S89" i="15"/>
  <c r="S90" i="15" s="1"/>
  <c r="R117" i="15"/>
  <c r="S117" i="15" s="1"/>
  <c r="R65" i="15"/>
  <c r="S65" i="15" s="1"/>
  <c r="S64" i="15"/>
  <c r="S116" i="15"/>
  <c r="S63" i="15"/>
  <c r="S115" i="15"/>
  <c r="S62" i="15"/>
  <c r="S114" i="15"/>
  <c r="S60" i="15"/>
  <c r="S112" i="15"/>
  <c r="S111" i="15"/>
  <c r="S59" i="15"/>
  <c r="S58" i="15"/>
  <c r="S110" i="15"/>
  <c r="S57" i="15"/>
  <c r="S109" i="15"/>
  <c r="S108" i="15"/>
  <c r="S56" i="15"/>
  <c r="G56" i="15"/>
  <c r="H56" i="15" s="1"/>
  <c r="G55" i="15"/>
  <c r="H55" i="15" s="1"/>
  <c r="G54" i="15"/>
  <c r="R105" i="15"/>
  <c r="S106" i="15"/>
  <c r="S107" i="15"/>
  <c r="S113" i="15"/>
  <c r="S55" i="15"/>
  <c r="S54" i="15"/>
  <c r="S61" i="15"/>
  <c r="D94" i="15"/>
  <c r="D113" i="15"/>
  <c r="D108" i="15"/>
  <c r="D116" i="15"/>
  <c r="D107" i="15"/>
  <c r="D115" i="15"/>
  <c r="D106" i="15"/>
  <c r="D109" i="15"/>
  <c r="D114" i="15"/>
  <c r="D117" i="15"/>
  <c r="D112" i="15"/>
  <c r="D110" i="15"/>
  <c r="D111" i="15"/>
  <c r="H110" i="15"/>
  <c r="H107" i="15"/>
  <c r="K42" i="15"/>
  <c r="L42" i="15" s="1"/>
  <c r="K59" i="15"/>
  <c r="L59" i="15" s="1"/>
  <c r="K65" i="15"/>
  <c r="L65" i="15" s="1"/>
  <c r="K58" i="15"/>
  <c r="L58" i="15" s="1"/>
  <c r="K64" i="15"/>
  <c r="L64" i="15" s="1"/>
  <c r="K57" i="15"/>
  <c r="L57" i="15" s="1"/>
  <c r="K63" i="15"/>
  <c r="L63" i="15" s="1"/>
  <c r="K56" i="15"/>
  <c r="L56" i="15" s="1"/>
  <c r="K62" i="15"/>
  <c r="L62" i="15" s="1"/>
  <c r="K55" i="15"/>
  <c r="L55" i="15" s="1"/>
  <c r="K54" i="15"/>
  <c r="K61" i="15"/>
  <c r="L61" i="15" s="1"/>
  <c r="K60" i="15"/>
  <c r="L60" i="15" s="1"/>
  <c r="O42" i="15"/>
  <c r="O43" i="15" s="1"/>
  <c r="O54" i="15"/>
  <c r="P54" i="15" s="1"/>
  <c r="O55" i="15"/>
  <c r="P55" i="15" s="1"/>
  <c r="O56" i="15"/>
  <c r="P56" i="15" s="1"/>
  <c r="O57" i="15"/>
  <c r="P57" i="15" s="1"/>
  <c r="O58" i="15"/>
  <c r="P58" i="15" s="1"/>
  <c r="O59" i="15"/>
  <c r="P59" i="15" s="1"/>
  <c r="O60" i="15"/>
  <c r="P60" i="15" s="1"/>
  <c r="O61" i="15"/>
  <c r="P61" i="15" s="1"/>
  <c r="O62" i="15"/>
  <c r="P62" i="15" s="1"/>
  <c r="O63" i="15"/>
  <c r="P63" i="15" s="1"/>
  <c r="O64" i="15"/>
  <c r="P64" i="15" s="1"/>
  <c r="O65" i="15"/>
  <c r="P65" i="15" s="1"/>
  <c r="G98" i="15"/>
  <c r="G95" i="15"/>
  <c r="K95" i="15"/>
  <c r="D61" i="15"/>
  <c r="D56" i="15"/>
  <c r="D60" i="15"/>
  <c r="D57" i="15"/>
  <c r="D54" i="15"/>
  <c r="D65" i="15"/>
  <c r="D63" i="15"/>
  <c r="D58" i="15"/>
  <c r="D59" i="15"/>
  <c r="D62" i="15"/>
  <c r="D55" i="15"/>
  <c r="D64" i="15"/>
  <c r="G62" i="15"/>
  <c r="G61" i="15"/>
  <c r="G60" i="15"/>
  <c r="G65" i="15"/>
  <c r="G59" i="15"/>
  <c r="G58" i="15"/>
  <c r="G63" i="15"/>
  <c r="G57" i="15"/>
  <c r="G64" i="15"/>
  <c r="K101" i="15"/>
  <c r="K94" i="15"/>
  <c r="L94" i="15" s="1"/>
  <c r="K100" i="15"/>
  <c r="L100" i="15" s="1"/>
  <c r="R53" i="15"/>
  <c r="S99" i="15"/>
  <c r="A44" i="15"/>
  <c r="G45" i="15"/>
  <c r="G48" i="15"/>
  <c r="G42" i="15"/>
  <c r="G43" i="15" s="1"/>
  <c r="G51" i="15"/>
  <c r="D46" i="15"/>
  <c r="D50" i="15"/>
  <c r="R94" i="15"/>
  <c r="D45" i="15"/>
  <c r="I138" i="15"/>
  <c r="K138" i="15" s="1"/>
  <c r="A141" i="15"/>
  <c r="G140" i="15"/>
  <c r="D95" i="15"/>
  <c r="D99" i="15"/>
  <c r="D103" i="15"/>
  <c r="G139" i="15"/>
  <c r="Q94" i="15"/>
  <c r="Q101" i="15"/>
  <c r="Q105" i="15"/>
  <c r="Q97" i="15"/>
  <c r="S97" i="15" s="1"/>
  <c r="D48" i="15"/>
  <c r="Q43" i="15"/>
  <c r="Q48" i="15"/>
  <c r="Q53" i="15"/>
  <c r="Q52" i="15"/>
  <c r="Q49" i="15"/>
  <c r="Q44" i="15"/>
  <c r="Q47" i="15"/>
  <c r="Q51" i="15"/>
  <c r="N43" i="15"/>
  <c r="N44" i="15" s="1"/>
  <c r="Q45" i="15"/>
  <c r="S45" i="15" s="1"/>
  <c r="D43" i="15"/>
  <c r="Q50" i="15"/>
  <c r="D97" i="15"/>
  <c r="D101" i="15"/>
  <c r="D105" i="15"/>
  <c r="H94" i="15"/>
  <c r="D47" i="15"/>
  <c r="D51" i="15"/>
  <c r="D52" i="15"/>
  <c r="N95" i="15"/>
  <c r="P94" i="15"/>
  <c r="D42" i="15"/>
  <c r="Q42" i="15"/>
  <c r="D44" i="15"/>
  <c r="J43" i="15"/>
  <c r="D49" i="15"/>
  <c r="D53" i="15"/>
  <c r="O95" i="15"/>
  <c r="A96" i="15"/>
  <c r="Q95" i="15"/>
  <c r="Q103" i="15"/>
  <c r="F139" i="15"/>
  <c r="Q46" i="15"/>
  <c r="D96" i="15"/>
  <c r="Q96" i="15"/>
  <c r="D98" i="15"/>
  <c r="Q98" i="15"/>
  <c r="D100" i="15"/>
  <c r="Q100" i="15"/>
  <c r="D102" i="15"/>
  <c r="Q102" i="15"/>
  <c r="D104" i="15"/>
  <c r="Q104" i="15"/>
  <c r="P267" i="28"/>
  <c r="K43" i="15" l="1"/>
  <c r="L43" i="15" s="1"/>
  <c r="P42" i="15"/>
  <c r="L54" i="15"/>
  <c r="L106" i="15"/>
  <c r="L112" i="15"/>
  <c r="O44" i="15"/>
  <c r="P44" i="15" s="1"/>
  <c r="K102" i="15"/>
  <c r="G99" i="15"/>
  <c r="G96" i="15"/>
  <c r="A45" i="15"/>
  <c r="A46" i="15" s="1"/>
  <c r="S53" i="15"/>
  <c r="S105" i="15"/>
  <c r="S104" i="15"/>
  <c r="S52" i="15"/>
  <c r="S103" i="15"/>
  <c r="S51" i="15"/>
  <c r="S102" i="15"/>
  <c r="S50" i="15"/>
  <c r="S101" i="15"/>
  <c r="S49" i="15"/>
  <c r="G44" i="15"/>
  <c r="S48" i="15"/>
  <c r="S100" i="15"/>
  <c r="K44" i="15"/>
  <c r="S47" i="15"/>
  <c r="S46" i="15"/>
  <c r="S98" i="15"/>
  <c r="H42" i="15"/>
  <c r="G53" i="15"/>
  <c r="G52" i="15"/>
  <c r="G50" i="15"/>
  <c r="G49" i="15"/>
  <c r="G46" i="15"/>
  <c r="G47" i="15"/>
  <c r="S96" i="15"/>
  <c r="S44" i="15"/>
  <c r="S95" i="15"/>
  <c r="S43" i="15"/>
  <c r="S94" i="15"/>
  <c r="S42" i="15"/>
  <c r="G141" i="15"/>
  <c r="A142" i="15"/>
  <c r="P43" i="15"/>
  <c r="J44" i="15"/>
  <c r="N96" i="15"/>
  <c r="P95" i="15"/>
  <c r="H43" i="15"/>
  <c r="F44" i="15"/>
  <c r="H139" i="15"/>
  <c r="F140" i="15"/>
  <c r="O96" i="15"/>
  <c r="A97" i="15"/>
  <c r="K103" i="15" s="1"/>
  <c r="K96" i="15"/>
  <c r="N45" i="15"/>
  <c r="J96" i="15"/>
  <c r="L95" i="15"/>
  <c r="F96" i="15"/>
  <c r="H95" i="15"/>
  <c r="K45" i="15" l="1"/>
  <c r="O45" i="15"/>
  <c r="P45" i="15" s="1"/>
  <c r="A143" i="15"/>
  <c r="G142" i="15"/>
  <c r="J97" i="15"/>
  <c r="L96" i="15"/>
  <c r="F141" i="15"/>
  <c r="H140" i="15"/>
  <c r="O46" i="15"/>
  <c r="K46" i="15"/>
  <c r="A47" i="15"/>
  <c r="N97" i="15"/>
  <c r="P96" i="15"/>
  <c r="N46" i="15"/>
  <c r="O97" i="15"/>
  <c r="K97" i="15"/>
  <c r="A98" i="15"/>
  <c r="K104" i="15" s="1"/>
  <c r="H44" i="15"/>
  <c r="J45" i="15"/>
  <c r="L44" i="15"/>
  <c r="G143" i="15" l="1"/>
  <c r="A144" i="15"/>
  <c r="L45" i="15"/>
  <c r="J46" i="15"/>
  <c r="J47" i="15" s="1"/>
  <c r="F98" i="15"/>
  <c r="H97" i="15"/>
  <c r="K47" i="15"/>
  <c r="A48" i="15"/>
  <c r="O47" i="15"/>
  <c r="H45" i="15"/>
  <c r="F46" i="15"/>
  <c r="F47" i="15" s="1"/>
  <c r="F142" i="15"/>
  <c r="H141" i="15"/>
  <c r="J98" i="15"/>
  <c r="J99" i="15" s="1"/>
  <c r="L97" i="15"/>
  <c r="A99" i="15"/>
  <c r="K98" i="15"/>
  <c r="O98" i="15"/>
  <c r="P46" i="15"/>
  <c r="N47" i="15"/>
  <c r="P97" i="15"/>
  <c r="N98" i="15"/>
  <c r="K105" i="15" l="1"/>
  <c r="O99" i="15"/>
  <c r="G144" i="15"/>
  <c r="A145" i="15"/>
  <c r="P47" i="15"/>
  <c r="N48" i="15"/>
  <c r="K99" i="15"/>
  <c r="A100" i="15"/>
  <c r="F143" i="15"/>
  <c r="H142" i="15"/>
  <c r="A49" i="15"/>
  <c r="O48" i="15"/>
  <c r="F99" i="15"/>
  <c r="H98" i="15"/>
  <c r="H46" i="15"/>
  <c r="L46" i="15"/>
  <c r="N99" i="15"/>
  <c r="P98" i="15"/>
  <c r="L98" i="15"/>
  <c r="A146" i="15" l="1"/>
  <c r="G145" i="15"/>
  <c r="N100" i="15"/>
  <c r="P99" i="15"/>
  <c r="H47" i="15"/>
  <c r="H143" i="15"/>
  <c r="F144" i="15"/>
  <c r="P48" i="15"/>
  <c r="N49" i="15"/>
  <c r="L47" i="15"/>
  <c r="A101" i="15"/>
  <c r="O100" i="15"/>
  <c r="A50" i="15"/>
  <c r="O49" i="15"/>
  <c r="G146" i="15" l="1"/>
  <c r="A147" i="15"/>
  <c r="O101" i="15"/>
  <c r="A102" i="15"/>
  <c r="A51" i="15"/>
  <c r="O50" i="15"/>
  <c r="J101" i="15"/>
  <c r="J49" i="15"/>
  <c r="L48" i="15"/>
  <c r="F145" i="15"/>
  <c r="H144" i="15"/>
  <c r="N101" i="15"/>
  <c r="P100" i="15"/>
  <c r="F101" i="15"/>
  <c r="H100" i="15"/>
  <c r="N50" i="15"/>
  <c r="P49" i="15"/>
  <c r="F49" i="15"/>
  <c r="H48" i="15"/>
  <c r="H54" i="15" l="1"/>
  <c r="A148" i="15"/>
  <c r="G147" i="15"/>
  <c r="F50" i="15"/>
  <c r="H49" i="15"/>
  <c r="F102" i="15"/>
  <c r="H101" i="15"/>
  <c r="F146" i="15"/>
  <c r="H145" i="15"/>
  <c r="J102" i="15"/>
  <c r="L101" i="15"/>
  <c r="A52" i="15"/>
  <c r="O51" i="15"/>
  <c r="A103" i="15"/>
  <c r="O102" i="15"/>
  <c r="P50" i="15"/>
  <c r="N51" i="15"/>
  <c r="N102" i="15"/>
  <c r="P101" i="15"/>
  <c r="J50" i="15"/>
  <c r="L49" i="15"/>
  <c r="H62" i="15" l="1"/>
  <c r="H60" i="15"/>
  <c r="H61" i="15"/>
  <c r="H59" i="15"/>
  <c r="H57" i="15"/>
  <c r="H58" i="15"/>
  <c r="H63" i="15"/>
  <c r="H65" i="15"/>
  <c r="H64" i="15"/>
  <c r="G148" i="15"/>
  <c r="A149" i="15"/>
  <c r="G149" i="15" s="1"/>
  <c r="J103" i="15"/>
  <c r="L102" i="15"/>
  <c r="H102" i="15"/>
  <c r="N103" i="15"/>
  <c r="P102" i="15"/>
  <c r="A53" i="15"/>
  <c r="O52" i="15"/>
  <c r="P51" i="15"/>
  <c r="N52" i="15"/>
  <c r="O103" i="15"/>
  <c r="A104" i="15"/>
  <c r="F147" i="15"/>
  <c r="H146" i="15"/>
  <c r="H50" i="15"/>
  <c r="J51" i="15"/>
  <c r="L50" i="15"/>
  <c r="H51" i="15" l="1"/>
  <c r="F52" i="15"/>
  <c r="F53" i="15" s="1"/>
  <c r="N104" i="15"/>
  <c r="P103" i="15"/>
  <c r="J104" i="15"/>
  <c r="L103" i="15"/>
  <c r="L51" i="15"/>
  <c r="J52" i="15"/>
  <c r="H147" i="15"/>
  <c r="F148" i="15"/>
  <c r="P52" i="15"/>
  <c r="N53" i="15"/>
  <c r="O104" i="15"/>
  <c r="A105" i="15"/>
  <c r="O53" i="15"/>
  <c r="F104" i="15"/>
  <c r="H103" i="15"/>
  <c r="F105" i="15" l="1"/>
  <c r="H105" i="15" s="1"/>
  <c r="H104" i="15"/>
  <c r="N105" i="15"/>
  <c r="P104" i="15"/>
  <c r="O105" i="15"/>
  <c r="F149" i="15"/>
  <c r="H149" i="15" s="1"/>
  <c r="H148" i="15"/>
  <c r="H53" i="15"/>
  <c r="H52" i="15"/>
  <c r="J105" i="15"/>
  <c r="L105" i="15" s="1"/>
  <c r="L104" i="15"/>
  <c r="P53" i="15"/>
  <c r="J53" i="15"/>
  <c r="L53" i="15" s="1"/>
  <c r="L52" i="15"/>
  <c r="P105" i="15" l="1"/>
  <c r="H171" i="15" l="1"/>
  <c r="D132" i="15" s="1"/>
  <c r="G165" i="15"/>
  <c r="H165" i="15" s="1"/>
  <c r="G170" i="15"/>
  <c r="H170" i="15" s="1"/>
  <c r="G169" i="15"/>
  <c r="H169" i="15" s="1"/>
  <c r="G168" i="15"/>
  <c r="H168" i="15" s="1"/>
  <c r="H17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C40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agrega MDF-COM-3 desde abril 23</t>
        </r>
      </text>
    </comment>
    <comment ref="M4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agrega un equipo en celulosa</t>
        </r>
      </text>
    </comment>
    <comment ref="E92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 partir de abril 2023 se retiran las interevenciones de Barrio Parque Piray</t>
        </r>
      </text>
    </comment>
    <comment ref="I92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abril 2023 se retiran las intervenciones de Barrio Parque Piray</t>
        </r>
      </text>
    </comment>
    <comment ref="M9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Abril 2023, se retiran las intervencines de barrio Parque Piray</t>
        </r>
      </text>
    </comment>
  </commentList>
</comments>
</file>

<file path=xl/sharedStrings.xml><?xml version="1.0" encoding="utf-8"?>
<sst xmlns="http://schemas.openxmlformats.org/spreadsheetml/2006/main" count="8248" uniqueCount="1867">
  <si>
    <t>COD. EQUIPO</t>
  </si>
  <si>
    <t>LOCALIDAD</t>
  </si>
  <si>
    <t>SEDE</t>
  </si>
  <si>
    <t>AREA</t>
  </si>
  <si>
    <t>SECTOR/USUARIO</t>
  </si>
  <si>
    <t>ESPERANZA</t>
  </si>
  <si>
    <t>PLANTA CELULOSA</t>
  </si>
  <si>
    <t xml:space="preserve">ALMACEN  </t>
  </si>
  <si>
    <t>CEL-LOG-1</t>
  </si>
  <si>
    <t>LOGISTICA</t>
  </si>
  <si>
    <t>Of. Trafico/Logistica 1</t>
  </si>
  <si>
    <t>CEL-LOG-2</t>
  </si>
  <si>
    <t>CEL-LOG-3</t>
  </si>
  <si>
    <t>Of. Jefe Logistica.</t>
  </si>
  <si>
    <t>CEL-LOG-4</t>
  </si>
  <si>
    <t>Of. Planificacion Trafico/Logistica.</t>
  </si>
  <si>
    <t>CEL-LOG-5</t>
  </si>
  <si>
    <t xml:space="preserve">Sala de Reunion </t>
  </si>
  <si>
    <t>CEL-POR-1</t>
  </si>
  <si>
    <t>PORTERÍA</t>
  </si>
  <si>
    <t>Comedor</t>
  </si>
  <si>
    <t>CEL-POR-3</t>
  </si>
  <si>
    <t>Of. Recepción</t>
  </si>
  <si>
    <t>CEL-POR-5</t>
  </si>
  <si>
    <t>Of. Jefe de Equipo.</t>
  </si>
  <si>
    <t>CEL-AD1-1</t>
  </si>
  <si>
    <t>ADMINISTRACIÓN</t>
  </si>
  <si>
    <t>CEL-AD1-2</t>
  </si>
  <si>
    <t>CEL-AD1-3</t>
  </si>
  <si>
    <t>CEL-AD1-4</t>
  </si>
  <si>
    <t>Of. Control Forestal</t>
  </si>
  <si>
    <t>CEL-AD1-5</t>
  </si>
  <si>
    <t>CEL-AD1-6</t>
  </si>
  <si>
    <t>CEL-AD1-7</t>
  </si>
  <si>
    <t>CEL-AD1-8</t>
  </si>
  <si>
    <t>CEL-AD1-9</t>
  </si>
  <si>
    <t>CEL-AD1-10</t>
  </si>
  <si>
    <t>CEL-AD1-11</t>
  </si>
  <si>
    <t>CEL-AD1-12</t>
  </si>
  <si>
    <t>CEL-AD1-13</t>
  </si>
  <si>
    <t>Of. Secretaria Gte.</t>
  </si>
  <si>
    <t>CEL-AD1-14</t>
  </si>
  <si>
    <t>CEL-AD1-15</t>
  </si>
  <si>
    <t>CEL-AD1-16</t>
  </si>
  <si>
    <t>CEL-AD1-17</t>
  </si>
  <si>
    <t>CEL-AD1-18</t>
  </si>
  <si>
    <t>CEL-AD1-19</t>
  </si>
  <si>
    <t>CEL-AD1-20</t>
  </si>
  <si>
    <t>CEL-AD2-1</t>
  </si>
  <si>
    <t>ADMINISTRACIÓN 2</t>
  </si>
  <si>
    <t>Of. SSGG (Supervisor)</t>
  </si>
  <si>
    <t>CEL-AD2-2</t>
  </si>
  <si>
    <t>CEL-AD2-3</t>
  </si>
  <si>
    <t>Of. SSGG (Auxiliares 1)</t>
  </si>
  <si>
    <t>CEL-AD2-4</t>
  </si>
  <si>
    <t>Of. SSGG (Movilidad)</t>
  </si>
  <si>
    <t>CEL-AD2-6</t>
  </si>
  <si>
    <t>CEL-AD2-7</t>
  </si>
  <si>
    <t>CEL-AD2-8</t>
  </si>
  <si>
    <t>CEL-AD2-9</t>
  </si>
  <si>
    <t>Of. Control de Contratistas (Auxiliares)</t>
  </si>
  <si>
    <t>CEL-AD2-10</t>
  </si>
  <si>
    <t>CEL-AD2-11</t>
  </si>
  <si>
    <t>CEL-AD2-12</t>
  </si>
  <si>
    <t>CEL-AD2-13</t>
  </si>
  <si>
    <t>CEL-AD2-14</t>
  </si>
  <si>
    <t>CEL-AD2-15</t>
  </si>
  <si>
    <t>CEL-AD2-16</t>
  </si>
  <si>
    <t>BALANZA</t>
  </si>
  <si>
    <t>CEL-BAL-2</t>
  </si>
  <si>
    <t>ENFERMERÍA</t>
  </si>
  <si>
    <t>CEL-FOR-1</t>
  </si>
  <si>
    <t>CEL-FOR-2</t>
  </si>
  <si>
    <t>CEL-FOR-3</t>
  </si>
  <si>
    <t>CEL-FOR-4</t>
  </si>
  <si>
    <t>CLO-CHA-1</t>
  </si>
  <si>
    <t>PTO. BOSSETTI</t>
  </si>
  <si>
    <t>CHALET</t>
  </si>
  <si>
    <t>Habitacion 1</t>
  </si>
  <si>
    <t>CLO-CHA-2</t>
  </si>
  <si>
    <t>Habitacion 2</t>
  </si>
  <si>
    <t>CLO-CHA-3</t>
  </si>
  <si>
    <t>Habitacion 3</t>
  </si>
  <si>
    <t>CLO-CHA-4</t>
  </si>
  <si>
    <t>Habitacion 4</t>
  </si>
  <si>
    <t>CLO-CHA-5</t>
  </si>
  <si>
    <t>Habitacion 5</t>
  </si>
  <si>
    <t>CLO-CHA-6</t>
  </si>
  <si>
    <t>Habitacion 6</t>
  </si>
  <si>
    <t>CLO-CHA-7</t>
  </si>
  <si>
    <t>Living Comedor</t>
  </si>
  <si>
    <t>CLO-CHA-8</t>
  </si>
  <si>
    <t>Casa Cuidador.</t>
  </si>
  <si>
    <t>CLO-BAL-1</t>
  </si>
  <si>
    <t xml:space="preserve">BALANZA </t>
  </si>
  <si>
    <t xml:space="preserve">Of. Operadores </t>
  </si>
  <si>
    <t>CLO-BAL-2</t>
  </si>
  <si>
    <t>CLO-ENF-1</t>
  </si>
  <si>
    <t>Consultorio</t>
  </si>
  <si>
    <t>CLO-EXP-1</t>
  </si>
  <si>
    <t>EXPEDICIÓN</t>
  </si>
  <si>
    <t>Of. Planificador (Martinez)</t>
  </si>
  <si>
    <t>CLO-EXP-2</t>
  </si>
  <si>
    <t>Of. Planificador (al lado Martinez)</t>
  </si>
  <si>
    <t>PYP-AD1-4</t>
  </si>
  <si>
    <t>PRED. Y'PORÁ</t>
  </si>
  <si>
    <t>PYP-AD1-6</t>
  </si>
  <si>
    <t>PYP-AD1-7</t>
  </si>
  <si>
    <t>PYP-AD1-8</t>
  </si>
  <si>
    <t>PYP-AD1-9</t>
  </si>
  <si>
    <t>PYP-AD1-10</t>
  </si>
  <si>
    <t>PYP-AD1-11</t>
  </si>
  <si>
    <t>PYP-AD1-12</t>
  </si>
  <si>
    <t>PYP-AD1-13</t>
  </si>
  <si>
    <t>PYP-AD1-14</t>
  </si>
  <si>
    <t>PYP-AD1-15</t>
  </si>
  <si>
    <t>PYP-AD1-16</t>
  </si>
  <si>
    <t>PYP-AD1-17</t>
  </si>
  <si>
    <t>PYP-AD1-18</t>
  </si>
  <si>
    <t>PYP-AD1-19</t>
  </si>
  <si>
    <t>PYP-AD1-20</t>
  </si>
  <si>
    <t>PYP-AD1-21</t>
  </si>
  <si>
    <t>PYP-AD1-22</t>
  </si>
  <si>
    <t>PYP-AD1-24</t>
  </si>
  <si>
    <t>PYP-AD1-25</t>
  </si>
  <si>
    <t>PYP-AD1-26</t>
  </si>
  <si>
    <t>PYP-AD1-27</t>
  </si>
  <si>
    <t>PYP-AD1-28</t>
  </si>
  <si>
    <t>PYP-LAB-1</t>
  </si>
  <si>
    <t>LABORATORIO</t>
  </si>
  <si>
    <t>Of. Laboratorio</t>
  </si>
  <si>
    <t>PYP-LAB-2</t>
  </si>
  <si>
    <t xml:space="preserve">Of. Laboratorio </t>
  </si>
  <si>
    <t>PYP-LAB-3</t>
  </si>
  <si>
    <t>PYP-POR-1</t>
  </si>
  <si>
    <t>PYP-POR-2</t>
  </si>
  <si>
    <t>PYP-POR-3</t>
  </si>
  <si>
    <t>PYP-POR-4</t>
  </si>
  <si>
    <t>PYP-POR-5</t>
  </si>
  <si>
    <t>PYP-VIV-1</t>
  </si>
  <si>
    <t>VIVERO</t>
  </si>
  <si>
    <t>Of. N°25</t>
  </si>
  <si>
    <t>PYP-VIV-2</t>
  </si>
  <si>
    <t>PYP-VIV-3</t>
  </si>
  <si>
    <t>PYP-VIV-4</t>
  </si>
  <si>
    <t>Of. Forestal (Cristaldo)</t>
  </si>
  <si>
    <t>PYP-VIV-5</t>
  </si>
  <si>
    <t>Of. Jefe (Oloco D.)</t>
  </si>
  <si>
    <t>PYP-VIV-6</t>
  </si>
  <si>
    <t>Of. Forestal (Flor D.)</t>
  </si>
  <si>
    <t>PYP-VIV-7</t>
  </si>
  <si>
    <t>Of. Forestal (MeLgarejo S)</t>
  </si>
  <si>
    <t>PYP-VIV-8</t>
  </si>
  <si>
    <t>Of. Jefe Area Plantaciones (Sicardi)</t>
  </si>
  <si>
    <t>PYP-VIV-9</t>
  </si>
  <si>
    <t>Of. Jefe Distrito (Valenzuela)</t>
  </si>
  <si>
    <t>PYP-VIV-10</t>
  </si>
  <si>
    <t>Of. SisyCo (Barzola)</t>
  </si>
  <si>
    <t>PYP-VIV-11</t>
  </si>
  <si>
    <t>PYP-VIV-12</t>
  </si>
  <si>
    <t>Of. Almacen</t>
  </si>
  <si>
    <t>PYP-VIV-13</t>
  </si>
  <si>
    <t>PSJ-ADM-1</t>
  </si>
  <si>
    <t>PRED. SAN JORGE</t>
  </si>
  <si>
    <t>Of.. Jefe de Distrito</t>
  </si>
  <si>
    <t>PSJ-ADM-2</t>
  </si>
  <si>
    <t>Of. Dpto Camino</t>
  </si>
  <si>
    <t>PSJ-ADM-3</t>
  </si>
  <si>
    <t>Of. Recepción Garita</t>
  </si>
  <si>
    <t>PSJ-ADM-4</t>
  </si>
  <si>
    <t>Sala de Capacitacion</t>
  </si>
  <si>
    <t>PSJ-ADM-5</t>
  </si>
  <si>
    <t>Sala de Reunion</t>
  </si>
  <si>
    <t>PSJ-ADM-6</t>
  </si>
  <si>
    <t>COMEDOR</t>
  </si>
  <si>
    <t>VIV-AD1-2</t>
  </si>
  <si>
    <t>VIV-AD1-3</t>
  </si>
  <si>
    <t>CEL-COM-1</t>
  </si>
  <si>
    <t>CEL-COM-2</t>
  </si>
  <si>
    <t>CEL-COM-3</t>
  </si>
  <si>
    <t>CEL-COM-4</t>
  </si>
  <si>
    <t>CEL-COM-5</t>
  </si>
  <si>
    <t>CLO-COM-1</t>
  </si>
  <si>
    <t>Salón Comedor</t>
  </si>
  <si>
    <t>CLO-COM-2</t>
  </si>
  <si>
    <t>CLO-SYC-1</t>
  </si>
  <si>
    <t>SISTEMA Y COMUNICACIÓN</t>
  </si>
  <si>
    <t>CLO-SYC-2</t>
  </si>
  <si>
    <t>CLO-SYC-3</t>
  </si>
  <si>
    <t>CLO-SYC-4</t>
  </si>
  <si>
    <t>CLO-SYC-5</t>
  </si>
  <si>
    <t>VIV-AD1-1</t>
  </si>
  <si>
    <t>PTO. PIRAY</t>
  </si>
  <si>
    <t>Of. Jefe</t>
  </si>
  <si>
    <t>HPP-HAB-1</t>
  </si>
  <si>
    <t>HOTEL PTO. PIRAY</t>
  </si>
  <si>
    <t xml:space="preserve">HOTEL </t>
  </si>
  <si>
    <t>Habitación Nº1</t>
  </si>
  <si>
    <t>HPP-HAB-2</t>
  </si>
  <si>
    <t>Habitación Nº2</t>
  </si>
  <si>
    <t>HPP-HAB-3</t>
  </si>
  <si>
    <t>Habitación Nº3</t>
  </si>
  <si>
    <t>HPP-HAB-4</t>
  </si>
  <si>
    <t>Habitación Nº4</t>
  </si>
  <si>
    <t>HPP-HAB-5</t>
  </si>
  <si>
    <t>Habitación Nº5</t>
  </si>
  <si>
    <t>HPP-HAB-6</t>
  </si>
  <si>
    <t>Habitación Nº6</t>
  </si>
  <si>
    <t>HPP-HAB-7</t>
  </si>
  <si>
    <t>Habitación Nº7</t>
  </si>
  <si>
    <t>HPP-HAB-8</t>
  </si>
  <si>
    <t>Habitación Nº8</t>
  </si>
  <si>
    <t>HPP-HAB-9</t>
  </si>
  <si>
    <t>Habitación Nº9</t>
  </si>
  <si>
    <t>HPP-HAB-10</t>
  </si>
  <si>
    <t>Habitación Nº10</t>
  </si>
  <si>
    <t>HPP-HAB-11</t>
  </si>
  <si>
    <t>Habitación Nº11</t>
  </si>
  <si>
    <t>HPP-HAB-12</t>
  </si>
  <si>
    <t>Habitación Nº12</t>
  </si>
  <si>
    <t>HPP-HAB-13</t>
  </si>
  <si>
    <t>Habitación Nº13</t>
  </si>
  <si>
    <t>HPP-HAB-14</t>
  </si>
  <si>
    <t>Habitación Nº14</t>
  </si>
  <si>
    <t>HPP-HAB-15</t>
  </si>
  <si>
    <t>Habitación Nº15</t>
  </si>
  <si>
    <t>HPP-HAB-16</t>
  </si>
  <si>
    <t>Habitación Nº16</t>
  </si>
  <si>
    <t>HPP-LAV-23</t>
  </si>
  <si>
    <t>Lavadero</t>
  </si>
  <si>
    <t>HPP-COM-20</t>
  </si>
  <si>
    <t>HPP-COM-21</t>
  </si>
  <si>
    <t>HPP-COM-22</t>
  </si>
  <si>
    <t>MDF-AD2-1</t>
  </si>
  <si>
    <t xml:space="preserve">MDF  </t>
  </si>
  <si>
    <t>Of. Auditoria Interna</t>
  </si>
  <si>
    <t>MDF-AD2-2</t>
  </si>
  <si>
    <t>MDF-AD2-5</t>
  </si>
  <si>
    <t>MDF-AD2-6</t>
  </si>
  <si>
    <t>MDF-AD2-13</t>
  </si>
  <si>
    <t>Of. Subgte Sis y Co.</t>
  </si>
  <si>
    <t>MDF-AD2-21</t>
  </si>
  <si>
    <t>MDF-AD2-23</t>
  </si>
  <si>
    <t>MDF-ALM-1</t>
  </si>
  <si>
    <t>MDF-ALM-2</t>
  </si>
  <si>
    <t>Of. Operadores</t>
  </si>
  <si>
    <t>MDF-ALM-3</t>
  </si>
  <si>
    <t>MDF-MAN-1</t>
  </si>
  <si>
    <t>MANTENIMIENTO (edificio)</t>
  </si>
  <si>
    <t>MDF-MAN-2</t>
  </si>
  <si>
    <t>MDF-MAN-3</t>
  </si>
  <si>
    <t>MDF-MAN-4</t>
  </si>
  <si>
    <t>Sala de Capacitación</t>
  </si>
  <si>
    <t>MDF-MAN-5</t>
  </si>
  <si>
    <t>MDF-MAN-6</t>
  </si>
  <si>
    <t>MDF-MAN-7</t>
  </si>
  <si>
    <t>MDF-MAN-8</t>
  </si>
  <si>
    <t>MDF-MAN-9</t>
  </si>
  <si>
    <t>MDF-MAN-10</t>
  </si>
  <si>
    <t>Of. Mantenimiento. (Predictivo)</t>
  </si>
  <si>
    <t>MDF-MAN-11</t>
  </si>
  <si>
    <t>Of. Mantenimiento. (Jefe Mantenimiento)</t>
  </si>
  <si>
    <t>MDF-MAN-12</t>
  </si>
  <si>
    <t>Of. Mantenimiento. (Jefe Planificaciòn)</t>
  </si>
  <si>
    <t>MDF-MAN-13</t>
  </si>
  <si>
    <t>MDF-MAN-14</t>
  </si>
  <si>
    <t>MDF-MAN-15</t>
  </si>
  <si>
    <t>MDF-MAN-16</t>
  </si>
  <si>
    <t>MDF-MAN-17</t>
  </si>
  <si>
    <t>Archivo Técnico</t>
  </si>
  <si>
    <t>MDF-PTE-2</t>
  </si>
  <si>
    <t>PLANTA TÉRMICA</t>
  </si>
  <si>
    <t>Taller de Soldadura PT</t>
  </si>
  <si>
    <t>MDF-PTE-3</t>
  </si>
  <si>
    <t>Taller Eléctrico PT</t>
  </si>
  <si>
    <t>MDF-PTE-4</t>
  </si>
  <si>
    <t>MDF-PTE-5</t>
  </si>
  <si>
    <t>Taller Mecánico PT</t>
  </si>
  <si>
    <t>MDF-BAL-1</t>
  </si>
  <si>
    <t>Of. Balanza</t>
  </si>
  <si>
    <t>MDF-BAL-2</t>
  </si>
  <si>
    <t>Of. Coordinadores</t>
  </si>
  <si>
    <t>MDF-EXP-1</t>
  </si>
  <si>
    <t>Of. Expedición (Despacho)</t>
  </si>
  <si>
    <t>MDF-EXP-2</t>
  </si>
  <si>
    <t>Of. Expedición (Embalaje)</t>
  </si>
  <si>
    <t>MDF-PTE-1</t>
  </si>
  <si>
    <t>Of. Jefe PT</t>
  </si>
  <si>
    <t>MDF-POR-1</t>
  </si>
  <si>
    <t xml:space="preserve">Of. Guardia </t>
  </si>
  <si>
    <t>MDF-POR-2</t>
  </si>
  <si>
    <t>HPP-LIV-17</t>
  </si>
  <si>
    <t>HPP-LIV-18</t>
  </si>
  <si>
    <t>HPP-LIV-19</t>
  </si>
  <si>
    <t>LOG-LOG-1</t>
  </si>
  <si>
    <t>MDF-AD1-1</t>
  </si>
  <si>
    <t>MDF-AD1-2</t>
  </si>
  <si>
    <t>MDF-AD1-3</t>
  </si>
  <si>
    <t>MDF-AD1-4</t>
  </si>
  <si>
    <t>MDF-AD1-5</t>
  </si>
  <si>
    <t>MDF-AD1-6</t>
  </si>
  <si>
    <t>MDF-AD1-7</t>
  </si>
  <si>
    <t>MDF-AD1-8</t>
  </si>
  <si>
    <t>MDF-AD1-9</t>
  </si>
  <si>
    <t>MDF-AD1-10</t>
  </si>
  <si>
    <t>MDF-AD1-11</t>
  </si>
  <si>
    <t>MDF-AD1-12</t>
  </si>
  <si>
    <t>MDF-AD1-13</t>
  </si>
  <si>
    <t>MDF-AD1-14</t>
  </si>
  <si>
    <t>MDF-AD1-15</t>
  </si>
  <si>
    <t>MDF-AD1-16</t>
  </si>
  <si>
    <t>MDF-AD1-17</t>
  </si>
  <si>
    <t>MDF-AD1-18</t>
  </si>
  <si>
    <t>MDF-AD1-19</t>
  </si>
  <si>
    <t>MDF-AD1-20</t>
  </si>
  <si>
    <t>MDF-AD2-3</t>
  </si>
  <si>
    <t>MDF-AD2-7</t>
  </si>
  <si>
    <t>MDF-AD2-8</t>
  </si>
  <si>
    <t>MDF-AD2-9</t>
  </si>
  <si>
    <t>MDF-AD2-10</t>
  </si>
  <si>
    <t>MDF-AD2-11</t>
  </si>
  <si>
    <t>MDF-AD2-12</t>
  </si>
  <si>
    <t>MDF-AD2-14</t>
  </si>
  <si>
    <t>MDF-AD2-15</t>
  </si>
  <si>
    <t>MDF-AD2-16</t>
  </si>
  <si>
    <t>MDF-AD2-17</t>
  </si>
  <si>
    <t>MDF-AD2-18</t>
  </si>
  <si>
    <t>MDF-AD2-19</t>
  </si>
  <si>
    <t>MDF-AD2-20</t>
  </si>
  <si>
    <t>MDF-AD2-22</t>
  </si>
  <si>
    <t>MDF-AD2-24</t>
  </si>
  <si>
    <t>MDF-ALM-4</t>
  </si>
  <si>
    <t>Box 8</t>
  </si>
  <si>
    <t>MDF-COM-1</t>
  </si>
  <si>
    <t>MDF-COM-2</t>
  </si>
  <si>
    <t>MDF-ENF-1</t>
  </si>
  <si>
    <t>MDF-ENF-2</t>
  </si>
  <si>
    <t>MDF-LAB-1</t>
  </si>
  <si>
    <t xml:space="preserve">HABITACIÓN 9 </t>
  </si>
  <si>
    <t xml:space="preserve">HABITACIÓN 10 </t>
  </si>
  <si>
    <t xml:space="preserve">HABITACIÓN 11 </t>
  </si>
  <si>
    <t xml:space="preserve">HABITACIÓN 12 </t>
  </si>
  <si>
    <t xml:space="preserve">HABITACIÓN 13 </t>
  </si>
  <si>
    <t xml:space="preserve">HABITACIÓN 14 </t>
  </si>
  <si>
    <t xml:space="preserve">HABITACIÓN 15 </t>
  </si>
  <si>
    <t xml:space="preserve">HABITACIÓN 16 </t>
  </si>
  <si>
    <t xml:space="preserve">HABITACIÓN 17 </t>
  </si>
  <si>
    <t xml:space="preserve">HABITACIÓN 18 </t>
  </si>
  <si>
    <t>SISTEMAS</t>
  </si>
  <si>
    <t>Oficina Jefe de Informática</t>
  </si>
  <si>
    <t>Oficina Analistas Informática</t>
  </si>
  <si>
    <t>Of. RRHH (Auxiliares) 2</t>
  </si>
  <si>
    <t>Of. Jefe de Área RRHH</t>
  </si>
  <si>
    <t>Of. Jefe Auditoría Interna</t>
  </si>
  <si>
    <t>Of. Auditoría Interna (Auxiliar)</t>
  </si>
  <si>
    <t>Of. Control de Producción</t>
  </si>
  <si>
    <t>Of. Control Forestal (Auxiliares)</t>
  </si>
  <si>
    <t>Of. MASSO (Auxiliar SySO)</t>
  </si>
  <si>
    <t>Of. Costos (Auxiliares)</t>
  </si>
  <si>
    <t>Of. Medio Ambiente (Auxiliares)</t>
  </si>
  <si>
    <t>Of. Tesorería</t>
  </si>
  <si>
    <t>Of. SubGerente de Mantenimiento</t>
  </si>
  <si>
    <t>Of. SubGerente de Producción</t>
  </si>
  <si>
    <t>Of. Jefe Cuentas a Pagar</t>
  </si>
  <si>
    <t>Of. Archivo Técnico</t>
  </si>
  <si>
    <t>Of. Jefe Control de Contratistas</t>
  </si>
  <si>
    <t>Of. Cuentas a Pagar (Auxiliares) 1</t>
  </si>
  <si>
    <t>Of. Cuentas a Pagar (Auxiliares) 2</t>
  </si>
  <si>
    <t>Of. Contratos y Obras (Auxiliares)</t>
  </si>
  <si>
    <t>Of. Jefe Contratos y Obras</t>
  </si>
  <si>
    <t>Of. Jefe Contrataciones Forestales</t>
  </si>
  <si>
    <t>Sala de reuniones Contratos y Obras</t>
  </si>
  <si>
    <t>Balanza C3</t>
  </si>
  <si>
    <t>Balanza A1 - B2</t>
  </si>
  <si>
    <t>TRANSPORTE FORESTAL</t>
  </si>
  <si>
    <t>Of. Auxiliares</t>
  </si>
  <si>
    <t>Of. Jefe de Carga y Transporte</t>
  </si>
  <si>
    <t>Sala de reuniones (al lado de Recepción)</t>
  </si>
  <si>
    <t>Of. Jefe de Planificación</t>
  </si>
  <si>
    <t>Of. Jefe de Protección</t>
  </si>
  <si>
    <t>Of. Jefe de Control de Producción</t>
  </si>
  <si>
    <t>Of. De Planificación</t>
  </si>
  <si>
    <t>Of. De Jefe  (De Oliveira A.)</t>
  </si>
  <si>
    <t>Of. Abastecimiento - Ventas y Planificación</t>
  </si>
  <si>
    <t xml:space="preserve">Of. Control de Producción 1 </t>
  </si>
  <si>
    <t>Of. Control de Producción 2 (Oficina N° 3)</t>
  </si>
  <si>
    <t>Of. SySO (Lang Julio)</t>
  </si>
  <si>
    <t>Of. De Costos</t>
  </si>
  <si>
    <t>Of. De Jefe de Control Forestal</t>
  </si>
  <si>
    <t>Of. Área Técnica</t>
  </si>
  <si>
    <t>Of. Sistema de Gestión Integrado (Miranda/Rivero)</t>
  </si>
  <si>
    <t>Of. Sgte. (Maestri G.)</t>
  </si>
  <si>
    <t>Of. Sgte. (Maestropaolo Javier)</t>
  </si>
  <si>
    <t>Of. De Caminos</t>
  </si>
  <si>
    <t>Of. De Gestión Comunitaria</t>
  </si>
  <si>
    <t>Of. De Jefe de Genética (Raute)</t>
  </si>
  <si>
    <t>SERVICIO MÉDICO</t>
  </si>
  <si>
    <t>Of. De Doctor</t>
  </si>
  <si>
    <t>CONTROL TÉCNICO</t>
  </si>
  <si>
    <t>LOG-LOG-2</t>
  </si>
  <si>
    <t>Quinco de Camioneros</t>
  </si>
  <si>
    <t>TOTAL/MES</t>
  </si>
  <si>
    <t>INTERVENCIONES POR DIA</t>
  </si>
  <si>
    <t>FREC</t>
  </si>
  <si>
    <t>ADMINISTRACIÓN-VIVERO</t>
  </si>
  <si>
    <t>ZHOSTERIA - HALL DE ENTRADA</t>
  </si>
  <si>
    <t xml:space="preserve">ZHOSTERIA - SALÓN COMEDOR </t>
  </si>
  <si>
    <t>Of. Mantenimiento. (Jefe Mtto. Electrico)</t>
  </si>
  <si>
    <t>Of. Mantenimiento. (Planificación)</t>
  </si>
  <si>
    <t>Of. Mantenimiento. (Proyectos)</t>
  </si>
  <si>
    <t>Of. Mantenimiento. (Supervisor Electrico)</t>
  </si>
  <si>
    <t>Of. Recepción.</t>
  </si>
  <si>
    <t>Of. Mantenimiento. (Jefe Mtto. Mecanico)</t>
  </si>
  <si>
    <t>Of. Mantenimiento. (Supervisor Mecanico)</t>
  </si>
  <si>
    <t>Of. Mantenimiento. (Planificacion)</t>
  </si>
  <si>
    <t>Of. Mantenimiento. (Mecanico)</t>
  </si>
  <si>
    <t>CEL-AD1-21</t>
  </si>
  <si>
    <t>CEL-AD1-22</t>
  </si>
  <si>
    <t>CEL-AD1-23</t>
  </si>
  <si>
    <t>CEL-AD1-24</t>
  </si>
  <si>
    <t>CEL-AD1-25</t>
  </si>
  <si>
    <t>CEL-AD1-26</t>
  </si>
  <si>
    <t>PYP-AD1-29</t>
  </si>
  <si>
    <t>PYP-AD1-30</t>
  </si>
  <si>
    <t>CEL-AD2-5</t>
  </si>
  <si>
    <t>CEL-COTE-1</t>
  </si>
  <si>
    <t>CEL-COTE-2</t>
  </si>
  <si>
    <t>CEL-COTE-3</t>
  </si>
  <si>
    <t>CEL-COTE-4</t>
  </si>
  <si>
    <t>CEL-SIST-1</t>
  </si>
  <si>
    <t>CEL-SIST-2</t>
  </si>
  <si>
    <t>CEL-SIST-3</t>
  </si>
  <si>
    <t>CEL-SIST-4</t>
  </si>
  <si>
    <t>CEL-SIST-5</t>
  </si>
  <si>
    <t>PYP-POR-6</t>
  </si>
  <si>
    <t>PYP-SME-1</t>
  </si>
  <si>
    <t>PYP-SME-2</t>
  </si>
  <si>
    <t>PYP-HOS-1</t>
  </si>
  <si>
    <t>PYP-HOS-2</t>
  </si>
  <si>
    <t>PYP-HOS-3</t>
  </si>
  <si>
    <t>PYP-HOS-4</t>
  </si>
  <si>
    <t>PYP-HOS-5</t>
  </si>
  <si>
    <t>PYP-HOS-6</t>
  </si>
  <si>
    <t>PYP-HOS-7</t>
  </si>
  <si>
    <t>PYP-HOS-8</t>
  </si>
  <si>
    <t>PYP-HOS-9</t>
  </si>
  <si>
    <t>PYP-HOS-10</t>
  </si>
  <si>
    <t>PYP-HOS-11</t>
  </si>
  <si>
    <t>PYP-HOS-12</t>
  </si>
  <si>
    <t>PYP-HOS-13</t>
  </si>
  <si>
    <t>PYP-HOS-14</t>
  </si>
  <si>
    <t>PYP-HOS-15</t>
  </si>
  <si>
    <t>PYP-HOS-16</t>
  </si>
  <si>
    <t>PYP-HOS-17</t>
  </si>
  <si>
    <t>PYP-HOS-18</t>
  </si>
  <si>
    <t>PYP-HOS-19</t>
  </si>
  <si>
    <t>PYP-HOS-20</t>
  </si>
  <si>
    <t>PYP-HOS-21</t>
  </si>
  <si>
    <t>PYP-HOS-22</t>
  </si>
  <si>
    <t>PYP-HOS-23</t>
  </si>
  <si>
    <t>PYP-HOS-24</t>
  </si>
  <si>
    <t>HPP-OFI-24</t>
  </si>
  <si>
    <t>ESPE-ESP-CEL-COMEDO-MTTOAA01</t>
  </si>
  <si>
    <t>MTTO AA 01</t>
  </si>
  <si>
    <t>ESPE-ESP-CEL-COMEDO-MTTOAA02</t>
  </si>
  <si>
    <t>MTTO AA 02</t>
  </si>
  <si>
    <t>ESPE-ESP-CEL-COMEDO-MTTOAA03</t>
  </si>
  <si>
    <t>MTTO AA 03</t>
  </si>
  <si>
    <t>ESPE-ESP-CEL-COMEDO-MTTOAA04</t>
  </si>
  <si>
    <t>MTTO AA 04</t>
  </si>
  <si>
    <t>ESPE-ESP-CEL-COMEDO-MTTOAA05</t>
  </si>
  <si>
    <t>MTTO AA 05</t>
  </si>
  <si>
    <t>ESPE-ESP-CEL-SISTEM-OFICINA1</t>
  </si>
  <si>
    <t>CENTRO DE COMPUTOS 1</t>
  </si>
  <si>
    <t>ESPE-ESP-CEL-SISTEM-OFICINA2</t>
  </si>
  <si>
    <t>CENTRO DE COMPUTOS 2</t>
  </si>
  <si>
    <t>ESPE-ESP-CEL-SISTEM-OFICINA3</t>
  </si>
  <si>
    <t>CENTRAL TELEFÓNICA</t>
  </si>
  <si>
    <t>YPOR-YPO-GOF-ENFERM-OFMEDENF</t>
  </si>
  <si>
    <t>OF. MEDICO / ENFERMERA</t>
  </si>
  <si>
    <t>YPOR-YPO-GOF-VIVERO-OFIC0007</t>
  </si>
  <si>
    <t>SALA DE COMPUTOS.</t>
  </si>
  <si>
    <t>ZHOSTERIA - COCINA</t>
  </si>
  <si>
    <t>YPOR-YPO-HOT-HOTEL1-COCINA01</t>
  </si>
  <si>
    <t>COCINA</t>
  </si>
  <si>
    <t>YPOR-YPO-HOT-HOTEL1-SALCOMED</t>
  </si>
  <si>
    <t>SALÓN COMEDOR 1</t>
  </si>
  <si>
    <t>YPOR-YPO-HOT-HOTEL1-SALCOME2</t>
  </si>
  <si>
    <t xml:space="preserve">SALON COMEDOR 2 </t>
  </si>
  <si>
    <t>BOSS-BOS-ADM-VIVERO-CAMARASE</t>
  </si>
  <si>
    <t>CAMARA DE SEMILLAS</t>
  </si>
  <si>
    <t>BOSS-BOS-ADM-ADMIN1-CASTELEF</t>
  </si>
  <si>
    <t>BOSS-BOS-ADM-ADMIN1-OFSIYCO1</t>
  </si>
  <si>
    <t>OFICINA DE SISTEMA Y COMUNICACIONES</t>
  </si>
  <si>
    <t>BOSS-BOS-ADM-ADMIN1-DISTRED1</t>
  </si>
  <si>
    <t>DEISTRIBUCION DE RED 1</t>
  </si>
  <si>
    <t>BOSS-BOS-ADM-ADMIN1-SALACOM1</t>
  </si>
  <si>
    <t>SALA DE COMPUTOS 1</t>
  </si>
  <si>
    <t>BOSS-BOS-ADM-ADMIN1-SALACOM2</t>
  </si>
  <si>
    <t>SALA DE COMPUTOS 2</t>
  </si>
  <si>
    <t>ADMINISTRACION 1</t>
  </si>
  <si>
    <t>PIRA-PIR-MDF-ADMIN1-OFJEFERH</t>
  </si>
  <si>
    <t xml:space="preserve">OF. DE JEFE RRHH (Grande Anibal) </t>
  </si>
  <si>
    <t>PIRA-PIR-MDF-ADMIN1-OFGERGEN</t>
  </si>
  <si>
    <t xml:space="preserve">OF. SUBGTE. PRODUCCIÓN (Pablo Riat) </t>
  </si>
  <si>
    <t>PIRA-PIR-MDF-ADMIN1-OFGEROPE</t>
  </si>
  <si>
    <t>PIRA-PIR-MDF-ADMIN1-GTERRHH1</t>
  </si>
  <si>
    <t xml:space="preserve">OF. GERENTE RRHH (Meyer Alejandro) </t>
  </si>
  <si>
    <t>PIRA-PIR-MDF-ADMIN1-OFSUBGAD</t>
  </si>
  <si>
    <t xml:space="preserve">OF. SUBGTE ADMINISTRATIVO RN (Ascat S.) </t>
  </si>
  <si>
    <t>PIRA-PIR-MDF-ADMIN1-RECEPCIO</t>
  </si>
  <si>
    <t xml:space="preserve">RECEPCION MDF </t>
  </si>
  <si>
    <t>PIRA-PIR-MDF-ADMIN1-OFJEFTUR</t>
  </si>
  <si>
    <t xml:space="preserve">OF. JEFE DE TURNO </t>
  </si>
  <si>
    <t>PIRA-PIR-MDF-ADMIN1-OFMASSO2</t>
  </si>
  <si>
    <t xml:space="preserve">OF. Jefe MASSO (VERONICA CIAPPA) </t>
  </si>
  <si>
    <t>PIRA-PIR-MDF-ADMIN1-OFMASSO1</t>
  </si>
  <si>
    <t xml:space="preserve">OF. MASSO 1 (Erberich) </t>
  </si>
  <si>
    <t>PIRA-PIR-MDF-ADMIN1-OFMASSO3</t>
  </si>
  <si>
    <t xml:space="preserve">OF. MASSO 2 (Encina Liliana) </t>
  </si>
  <si>
    <t>PIRA-PIR-MDF-ADMIN1-OFSECGTE</t>
  </si>
  <si>
    <t xml:space="preserve">OF. SECRTARIA DEL GERENTE (Anyela Soto) </t>
  </si>
  <si>
    <t>PIRA-PIR-MDF-ADMIN1-SALREU01</t>
  </si>
  <si>
    <t xml:space="preserve">SALA DE REUNIONES 01 (Recep. Gerencia) </t>
  </si>
  <si>
    <t>PIRA-PIR-MDF-ADMIN1-OFAUXRH1</t>
  </si>
  <si>
    <t xml:space="preserve">OF. AUXILIARES RRHH (Morel / Ruiz Diaz) </t>
  </si>
  <si>
    <t>PIRA-PIR-MDF-ADMIN1-OFTESORE</t>
  </si>
  <si>
    <t xml:space="preserve">OF. TESORERIA /COSTO. </t>
  </si>
  <si>
    <t>PIRA-PIR-MDF-ADMIN1-OFCOSTO1</t>
  </si>
  <si>
    <t>OF. JEFE DE COSTOS</t>
  </si>
  <si>
    <t>PIRA-PIR-MDF-ADMIN1-OFEXEOPE</t>
  </si>
  <si>
    <t>PIRA-PIR-MDF-ADMIN1-OFPLANIF</t>
  </si>
  <si>
    <t xml:space="preserve">OF. DE PLANIFICACION (Orue) </t>
  </si>
  <si>
    <t>PIRA-PIR-MDF-ADMIN1-OFJEFPRO</t>
  </si>
  <si>
    <t>PIRA-PIR-MDF-ADMIN1-OFSUBGMA</t>
  </si>
  <si>
    <t xml:space="preserve">OF. SUBGTE MANTENIMIENTO (Jose Luis Nuc) </t>
  </si>
  <si>
    <t>PIRA-PIR-MDF-ADMIN2-OFSIYCO6</t>
  </si>
  <si>
    <t>OF. DE SISyCOM (Centro de Computos).</t>
  </si>
  <si>
    <t>PIRA-PIR-MDF-ADMIN2-OFSIYCO8</t>
  </si>
  <si>
    <t>OF. DE SISyCOM (Diem Norberto)</t>
  </si>
  <si>
    <t>PIRA-PIR-MDF-ADMIN2-OFVACIA5</t>
  </si>
  <si>
    <t>OFICINA DE MONITOREO.</t>
  </si>
  <si>
    <t>COMEDOR MDF</t>
  </si>
  <si>
    <t>PIRA-PIR-MDF-COMEDO-COMEDOR1</t>
  </si>
  <si>
    <t>PIRA-PIR-MDF-COMEDO-COMEDOR2</t>
  </si>
  <si>
    <t>DESCRIPCIÓN</t>
  </si>
  <si>
    <t xml:space="preserve">OF. GTE DE OPERACIONES (Ruben Freiberger) </t>
  </si>
  <si>
    <t>PIRA-PIR-MDF-ADMIN1-SALREU02</t>
  </si>
  <si>
    <t>SALA DE CAPACITACIONES</t>
  </si>
  <si>
    <t>MES</t>
  </si>
  <si>
    <t>OBJETIVO</t>
  </si>
  <si>
    <t>HES</t>
  </si>
  <si>
    <t>APOBA1-875</t>
  </si>
  <si>
    <t>APOBA1-874</t>
  </si>
  <si>
    <t>APOBA1-871</t>
  </si>
  <si>
    <t>APOBA1-872</t>
  </si>
  <si>
    <t>APOBA1-885</t>
  </si>
  <si>
    <t>APOBA1-886</t>
  </si>
  <si>
    <t>PRED. Y'PORÁH</t>
  </si>
  <si>
    <t>CECO</t>
  </si>
  <si>
    <t>PYP-AD1-23</t>
  </si>
  <si>
    <t>PYP-AD1-31</t>
  </si>
  <si>
    <t>PYP-AD1-32</t>
  </si>
  <si>
    <t>PYP-AD1-33</t>
  </si>
  <si>
    <t>PYP-AD1-34</t>
  </si>
  <si>
    <t>YPOR-YPO-GOF-ADMIN1-OFIC0036</t>
  </si>
  <si>
    <t>OF. RRHH (ML BOYCO)</t>
  </si>
  <si>
    <t>ESPE-ESP-CEL-ADMIN1-ENFERME3</t>
  </si>
  <si>
    <t>ESPE-ESP-CEL-ADMIN1-SALREU01</t>
  </si>
  <si>
    <t>ESPE-ESP-CEL-PORTER-MTTOAA02</t>
  </si>
  <si>
    <t>PORTERIA (ARCHIVO RACK CAMARAS)</t>
  </si>
  <si>
    <t>ESPE-ESP-CEL-ADMIN1-ENFERME4</t>
  </si>
  <si>
    <t>RECEPCIÓN ENFERMERIA.</t>
  </si>
  <si>
    <t>OF. DE EXPEDICIÓN</t>
  </si>
  <si>
    <t>ESPE-ESP-CEL-PORTER-MTTOAA04</t>
  </si>
  <si>
    <t>PIRA-PIR-MDF-ADMIN2-OFSIYCO4</t>
  </si>
  <si>
    <t>OF. DE SISyCOM Lubary Daysi.</t>
  </si>
  <si>
    <t>PIRA-PIR-MDF-ADMIN2-OFSIYCO3</t>
  </si>
  <si>
    <t>OF. DE SISyCOM Vargas Lorenzo</t>
  </si>
  <si>
    <t>PIRA-PIR-MDF-ADMIN2-MTTOAA12</t>
  </si>
  <si>
    <t>PIRA-PIR-MDF-ADMIN2-MTTOAA14</t>
  </si>
  <si>
    <t>PIRA-PIR-MDF-ADMIN2-MTTOAA23</t>
  </si>
  <si>
    <t>SIS y CO (SALA DE REUNIONES)</t>
  </si>
  <si>
    <t>PIRA-PIR-MDF-ALMACN-OFCOMPRA</t>
  </si>
  <si>
    <t>OF. COMPRAS</t>
  </si>
  <si>
    <t>OF. CONTROL CALIDAD (SC) JORGE ZAMORA</t>
  </si>
  <si>
    <t>PIRA-PIR-MDF-ADMIN2-OFSIYCO5</t>
  </si>
  <si>
    <t>TOTAL GRAL</t>
  </si>
  <si>
    <t>UT</t>
  </si>
  <si>
    <t>MTTO AA 06</t>
  </si>
  <si>
    <t>CEL-COM-6</t>
  </si>
  <si>
    <t>ESPE-ESP-CEL-COMEDO-MTTOAA06</t>
  </si>
  <si>
    <t>VACIA</t>
  </si>
  <si>
    <t>CLO-EXP-3</t>
  </si>
  <si>
    <t>QUINCHO DE CAMIONEROS</t>
  </si>
  <si>
    <t>CEL-COTE-5</t>
  </si>
  <si>
    <t>CEL-COTE-6</t>
  </si>
  <si>
    <t>LABORATORIO AGUAS Y EFLUENTES</t>
  </si>
  <si>
    <t>OFICINA ANALISTA LABORATORIO</t>
  </si>
  <si>
    <t>ESPE-ESP-CEL-LABORA-AGUAEFLU</t>
  </si>
  <si>
    <t>ESPE-ESP-CEL-LABORA-OFIC0001</t>
  </si>
  <si>
    <t>YPOR-YPO-HOT-HOTEL1-SALAREUN</t>
  </si>
  <si>
    <t>SALA DE REUNIONES</t>
  </si>
  <si>
    <t>YPOR-YPO-HOT-HOTEL1-SALAGIMN</t>
  </si>
  <si>
    <t>SALA DEL GIMNASIO</t>
  </si>
  <si>
    <t>YPOR-YPO-HOT-HOTEL1-HALLINGR</t>
  </si>
  <si>
    <t>HALL INGRESO</t>
  </si>
  <si>
    <t>YPOR-YPO-GOF-ADMIN1-OFIC0010</t>
  </si>
  <si>
    <t>OFICINA DEL GTE FORESTAL</t>
  </si>
  <si>
    <t>SALA DE REUNIONES DE GERENCIA</t>
  </si>
  <si>
    <t>YPOR-YPO-GOF-ADMIN1-SALREU01</t>
  </si>
  <si>
    <t>SALA DE VISITAS</t>
  </si>
  <si>
    <t>YPOR-YPO-GOF-ADMIN1-SALREU02</t>
  </si>
  <si>
    <t>RESERVADO 2</t>
  </si>
  <si>
    <t>PIRA-PIR-HOT-HOTEL1-RESERVA2</t>
  </si>
  <si>
    <t>PIRA-PIR-HOT-HOTEL1-LIVING01</t>
  </si>
  <si>
    <t>LIVING 01</t>
  </si>
  <si>
    <t>PIRA-PIR-HOT-HOTEL1-RESERVA1</t>
  </si>
  <si>
    <t>RESERVADO 1</t>
  </si>
  <si>
    <t>ESPE-ESP-CEL-ADMIN1-OFGEREOP</t>
  </si>
  <si>
    <t>OF. GERENTE OPERACIONES.</t>
  </si>
  <si>
    <t>OFICINA DE SYSO (LANG)</t>
  </si>
  <si>
    <t>OFICINA DE CARTOGRAFIA</t>
  </si>
  <si>
    <t>YPOR-YPO-GOF-ADMIN1-OFIC0011</t>
  </si>
  <si>
    <t>YPOR-YPO-GOF-ADMIN1-OFIC0012</t>
  </si>
  <si>
    <t>PIRA-PIR-MDF-MANTEN-TALLERES</t>
  </si>
  <si>
    <t>TALLER MECANICO</t>
  </si>
  <si>
    <t>PIRA-PIR-MDF-MANTEN-TALLEREL</t>
  </si>
  <si>
    <t>TALLER ELECTRICO</t>
  </si>
  <si>
    <t>ESPE-ESP-CEL-ADMIN2-SALCAP01</t>
  </si>
  <si>
    <t>SALA DE CAPACITACIÓN CEL-AD2-14</t>
  </si>
  <si>
    <t>ESPE-ESP-CEL-ADMIN2-SALCAP02</t>
  </si>
  <si>
    <t>SALA DE CAPACITACIÓN CEL-AD2-15</t>
  </si>
  <si>
    <t>ESPE-ESP-CEL-ADMIN2-SALCAP03</t>
  </si>
  <si>
    <t>SALA DE CAPACITACIÓN CHICA CEL-AD2-16</t>
  </si>
  <si>
    <t>OFICINA JEFE CONTROL TECNICO</t>
  </si>
  <si>
    <t>OFICINA ING. EN PROCESO</t>
  </si>
  <si>
    <t>ESPE-ESP-CEL-LABORA-OFIC0012</t>
  </si>
  <si>
    <t>LABORATORIO SALA AMBIENTADA</t>
  </si>
  <si>
    <t>ESPE-ESP-CEL-LABORA-LABORASE</t>
  </si>
  <si>
    <t>ESPE-ESP-CEL-LABORA-OFIC0019</t>
  </si>
  <si>
    <t>OFICINA SUPERVISOR LAB. AGUAS/EFLUENTES</t>
  </si>
  <si>
    <t>YPOR-YPO-HOT-PLANTB-HABITA01</t>
  </si>
  <si>
    <t>HABITACIÓN 1</t>
  </si>
  <si>
    <t>HABITACIÓN 2</t>
  </si>
  <si>
    <t>HABITACIÓN 3</t>
  </si>
  <si>
    <t>YPOR-YPO-HOT-PLANTB-HABITA02</t>
  </si>
  <si>
    <t>YPOR-YPO-HOT-PLANTB-HABITA03</t>
  </si>
  <si>
    <t>YPOR-YPO-HOT-PLANTB-HABITA04</t>
  </si>
  <si>
    <t>HABITACIÓN 4</t>
  </si>
  <si>
    <t>HABITACIÓN 5</t>
  </si>
  <si>
    <t>HABITACIÓN 6</t>
  </si>
  <si>
    <t>HABITACIÓN 7</t>
  </si>
  <si>
    <t>HABITACIÓN 8</t>
  </si>
  <si>
    <t>YPOR-YPO-HOT-PLANTB-HABITA05</t>
  </si>
  <si>
    <t>YPOR-YPO-HOT-PLANTB-HABITA06</t>
  </si>
  <si>
    <t>YPOR-YPO-HOT-PLANTB-HABITA07</t>
  </si>
  <si>
    <t>YPOR-YPO-HOT-PLANTB-HABITA08</t>
  </si>
  <si>
    <t>ASERRADERO</t>
  </si>
  <si>
    <t>APOBA1-873</t>
  </si>
  <si>
    <t>ASE-ENF-1</t>
  </si>
  <si>
    <t>PIRA-PIR-ASE-ENFERM</t>
  </si>
  <si>
    <t>ENFERMERIA</t>
  </si>
  <si>
    <t>Oficina (Altillo)</t>
  </si>
  <si>
    <t>PYP-LAB-4</t>
  </si>
  <si>
    <t>ESPE-ESP-CEL-ADMIN1-OFMASSO3</t>
  </si>
  <si>
    <t>DANIEL CABRERA</t>
  </si>
  <si>
    <t>YPOR-YPO-GOF-PROTPA-OFIC0001</t>
  </si>
  <si>
    <t>OFICINA 1 (Marinoni Fernando)</t>
  </si>
  <si>
    <t>YPOR-YPO-GOF-PROTPA-OFIC0002</t>
  </si>
  <si>
    <t>OFICINA 2 (Rodriguez, Gabriel)</t>
  </si>
  <si>
    <t>OF. VIGILANCIA.</t>
  </si>
  <si>
    <t>YPOR-YPO-GOF-PROTPA-OFIC0003</t>
  </si>
  <si>
    <t>OFICINA 4 (Patzer Hernan)</t>
  </si>
  <si>
    <t>YPOR-YPO-GOF-PROTPA-OFIC0004</t>
  </si>
  <si>
    <t>OFICINA 5 (Cristaldo, Caludio)</t>
  </si>
  <si>
    <t>YPOR-YPO-GOF-PROTPA-OFIC0005</t>
  </si>
  <si>
    <t>YPOR-YPO-GOF-PROTPA-OFIC0006</t>
  </si>
  <si>
    <t>OFICINA 6 (Base Indian)</t>
  </si>
  <si>
    <t>LOG-LOG-3</t>
  </si>
  <si>
    <t>ESPE-ESP-KM1-MANZA1-CASA0008</t>
  </si>
  <si>
    <t>ESPE-ESP-KM1-MANZA1-CASA0032</t>
  </si>
  <si>
    <t>B° KM1</t>
  </si>
  <si>
    <t>MATERIALES - HH A CERTIFICAR</t>
  </si>
  <si>
    <t>ESPE-ESP-CEL-ADMIN1-OFRRHH01</t>
  </si>
  <si>
    <t>OF. RRHH CELULOSA</t>
  </si>
  <si>
    <t>ESPE-ESP-CEL-ADMIN1-OFMASSO4</t>
  </si>
  <si>
    <t>ESPE-ESP-CEL-ADMIN1-OFCOSTO1</t>
  </si>
  <si>
    <t>ESPE-ESP-CEL-FOREST-OFRECLOG</t>
  </si>
  <si>
    <t>ESPE-ESP-CEL-FOREST-OFJETRAN</t>
  </si>
  <si>
    <t>ESPE-ESP-CEL-FOREST-SALREU01</t>
  </si>
  <si>
    <t>SIS y CO - DESARROLLO INFORMÁTICO 1</t>
  </si>
  <si>
    <t>SIS y CO - DESARROLLO INFORMÁTICO 2</t>
  </si>
  <si>
    <t>PIRA-PIR-MDF-ADMIN2-MTTOAA15</t>
  </si>
  <si>
    <t>DEPOSITO INFORMATICA (FRENTE OF. DESA)</t>
  </si>
  <si>
    <t>PIRA-PIR-MDF-ADMIN2-OFSIYCO7</t>
  </si>
  <si>
    <t>OF. DE SISyCOM (Stehr, Eduardo Arturo)</t>
  </si>
  <si>
    <t xml:space="preserve">PIRA-PIR-MDF-ADMIN2-OFSSGG02            </t>
  </si>
  <si>
    <t>MTTO DE AA - MOVILIDAD 1 (COORDINADOR)</t>
  </si>
  <si>
    <t>PIRA-PIR-MDF-ADMIN2-OFSSGG03</t>
  </si>
  <si>
    <t>MTTO DE AA - SSGG (ARQUITECTA)</t>
  </si>
  <si>
    <t>PIRA-PIR-MDF-ADMIN2-OFSSGG04</t>
  </si>
  <si>
    <t>MTTO DE AA - SSGG MM (ALVARENGA)</t>
  </si>
  <si>
    <t>PIRA-PIR-MDF-ADMIN2-OFCONYOB</t>
  </si>
  <si>
    <t>OF.CONTRATO Y OBRA (Puente Fernando)</t>
  </si>
  <si>
    <t>PIRA-PIR-MDF-ADMIN2-OFJEFCCO</t>
  </si>
  <si>
    <t>OF. JEFE CONTROL DE CONTRATISTA (Ruiz V)</t>
  </si>
  <si>
    <t>PIRA-PIR-MDF-ADMIN2-OFJEFSG2</t>
  </si>
  <si>
    <t>OF. JEFE SERVICIOS GENERALES</t>
  </si>
  <si>
    <t>PIRA-PIR-MDF-ENFERM-OFENFERM</t>
  </si>
  <si>
    <t>OF. MEDICO/ENFERMERA</t>
  </si>
  <si>
    <t>PIRA-PIR-MDF-ENFERM-SALATENC</t>
  </si>
  <si>
    <t>SALA DE ATENCION</t>
  </si>
  <si>
    <t>BOSS-BOS-ADM-VIVERO-OFIC0001</t>
  </si>
  <si>
    <t>JEFE DE DISTRITO</t>
  </si>
  <si>
    <t>YPOR-YPO-GOF-ADMIN1-OFIC0004</t>
  </si>
  <si>
    <t>OFICINA 4 (Baez Ruben)</t>
  </si>
  <si>
    <t>PIRA-PIR-ASE-PORTER-OFICFORE</t>
  </si>
  <si>
    <t>OF. FORESTAL</t>
  </si>
  <si>
    <t>ASE-FOR-1</t>
  </si>
  <si>
    <t>PIRA-PIR-ASE-VIGILA-OFICVIGI</t>
  </si>
  <si>
    <t>OF. VIGILANCIA DE PLANTA</t>
  </si>
  <si>
    <t>ASE-VIG-1</t>
  </si>
  <si>
    <t>MDF-ENF-3</t>
  </si>
  <si>
    <t>PIRA-PIR-MDF-ENFERM-RECEPCIO</t>
  </si>
  <si>
    <t>OF. VIGILANCIA VIVERO</t>
  </si>
  <si>
    <t>BOSS-BOS-ADM-VIVERO-OFIC0002</t>
  </si>
  <si>
    <t>PIRA-PIR-MDF-ADMIN2-OFFORES1</t>
  </si>
  <si>
    <t>OF. FORESTAL (Sequeira A.)</t>
  </si>
  <si>
    <t>PIRA-PIR-MDF-ADMIN2-OFFORES2</t>
  </si>
  <si>
    <t>OF. FORESTAL (Cristaldo D)</t>
  </si>
  <si>
    <t>PIRA-PIR-MDF-ADMIN2-OFVACIA2</t>
  </si>
  <si>
    <t>FORESTAL (SEGURIDAD FORESTAL)</t>
  </si>
  <si>
    <t>PIRA-PIR-MDF-ADMIN2-OFCOCO01</t>
  </si>
  <si>
    <t>OF. CONTROL DE CONTRATISTA (Zena MF.)</t>
  </si>
  <si>
    <t>ING. EN PROCESO (GOLDNER I)</t>
  </si>
  <si>
    <t>JEFE DE PRODUCCIÓN (STEVENS)</t>
  </si>
  <si>
    <t>TESORERIA-COSTOS</t>
  </si>
  <si>
    <t>ESPE-ESP-CEL-ADMIN1-OFSECGTE</t>
  </si>
  <si>
    <t>OF. SECRETARIA GTE.</t>
  </si>
  <si>
    <t>ESPE-ESP-CEL-ADMIN1-OFSGTEAD</t>
  </si>
  <si>
    <t>OF.SUBG.ADMINISTRACION.</t>
  </si>
  <si>
    <t>ESPE-ESP-CEL-ADMIN1-OFSGTEMT</t>
  </si>
  <si>
    <t>OF. SUBGERENTE DE MTTO.</t>
  </si>
  <si>
    <t>OF. SUBGERENTE DE PRODUCCIÓN.</t>
  </si>
  <si>
    <t>ESPE-ESP-CEL-ADMIN1-OFSGTEPR</t>
  </si>
  <si>
    <t>ESPE-ESP-CEL-ADMIN1-OFJEFERH</t>
  </si>
  <si>
    <t>OF. JEFE DE RRHH.</t>
  </si>
  <si>
    <t>ESPE-ESP-CEL-ADMIN1-OFAUINT1</t>
  </si>
  <si>
    <t>OF. AUDITORIA INTERNA 1.</t>
  </si>
  <si>
    <t>ESPE-ESP-CEL-ADMIN1-OFCONFO1</t>
  </si>
  <si>
    <t>OF. CONTROL FORESTAL 1.</t>
  </si>
  <si>
    <t>ESPE-ESP-CEL-ADMIN1-OFMASSO1</t>
  </si>
  <si>
    <t>OF. MASSO 1.</t>
  </si>
  <si>
    <t>ESPE-ESP-CEL-ADMIN2-OFICINA1</t>
  </si>
  <si>
    <t>OF. SUPERVISOR SSGG.</t>
  </si>
  <si>
    <t>ESPE-ESP-CEL-ADMIN2-OFCOYOB2</t>
  </si>
  <si>
    <t>OF. CONTRATO Y OBRA 1</t>
  </si>
  <si>
    <t>ESPE-ESP-CEL-ADMIN2-OFCOYOB3</t>
  </si>
  <si>
    <t>OF. CONTRATO Y OBRA 3 (FORESTAL)</t>
  </si>
  <si>
    <t>ESPE-ESP-CEL-ADMIN2-OFCOYOB1</t>
  </si>
  <si>
    <t>C y O SALA DE REUNION.</t>
  </si>
  <si>
    <t>ESPE-ESP-CEL-ADMIN2-OFCENPAG</t>
  </si>
  <si>
    <t>OF. CUENTAS A PAGAR</t>
  </si>
  <si>
    <t>ESPE-ESP-CEL-ADMIN1-OFMASSO5</t>
  </si>
  <si>
    <t>MASSO SALA DE REUNIONES</t>
  </si>
  <si>
    <t>SEMESTRAL</t>
  </si>
  <si>
    <t>ANUAL</t>
  </si>
  <si>
    <t>Acumulado</t>
  </si>
  <si>
    <t>Acum. Plan.</t>
  </si>
  <si>
    <t>Cumplimiento</t>
  </si>
  <si>
    <t>N°</t>
  </si>
  <si>
    <t>Intervensiones</t>
  </si>
  <si>
    <t>Planificadas</t>
  </si>
  <si>
    <t>TOTAL</t>
  </si>
  <si>
    <t>INTERVENSIONES</t>
  </si>
  <si>
    <t>PAGO BASICO MENSUAL</t>
  </si>
  <si>
    <t>PORCENTAJE CUMPLIMIENTO MENSUAL</t>
  </si>
  <si>
    <t>TOTAL A CERTIFICAR</t>
  </si>
  <si>
    <t>CTA. MAYOR</t>
  </si>
  <si>
    <t>MENSUAL</t>
  </si>
  <si>
    <t xml:space="preserve">Celulosa </t>
  </si>
  <si>
    <t>Piray</t>
  </si>
  <si>
    <t>ESPE-ESP-CEL-LOGIST-OFAUXLOG</t>
  </si>
  <si>
    <t>PIRA-PIR-MDF-VIGILA-OFVIGILA</t>
  </si>
  <si>
    <t>PIRA-PIR-MDF-PLATER-OFJEFEPT</t>
  </si>
  <si>
    <t>YPOR-YPO-GOF-ADMIN1-OFIC0008</t>
  </si>
  <si>
    <t>YPOR-YPO-GOF-ADMIN1-OFIC0006</t>
  </si>
  <si>
    <t>YPOR-YPO-GOF-ADMIN1</t>
  </si>
  <si>
    <t>YPOR-YPO-GOF-VIVERO</t>
  </si>
  <si>
    <t>PIRA-PIR-MDF-EXPEDI</t>
  </si>
  <si>
    <t>PIRA-PIR-HOT-HOTEL1-HABIT006</t>
  </si>
  <si>
    <t>PIRA-PIR-ASE-LOGIST-OFOPERAD</t>
  </si>
  <si>
    <t xml:space="preserve">Oficina 1 </t>
  </si>
  <si>
    <t xml:space="preserve">Oficina 2 </t>
  </si>
  <si>
    <t>PIRA-PIR-ASE-LOGIST-QUINCHO1</t>
  </si>
  <si>
    <t>MTTO DE AA - SSGG MM (Aux SS.GG.)</t>
  </si>
  <si>
    <t xml:space="preserve">PIRA-PIR-MDF-ALMACN-BOXNRO08 </t>
  </si>
  <si>
    <t xml:space="preserve">Ofic balanza </t>
  </si>
  <si>
    <t>PIRA-PIR-MDF-LABORA-OFJEFELA</t>
  </si>
  <si>
    <t>YPOR-YPO-HOT-PLANTB-HABITA09</t>
  </si>
  <si>
    <t>YPOR-YPO-HOT-PLANTA-HABITA10</t>
  </si>
  <si>
    <t>YPOR-YPO-HOT-PLANTA-HABITA11</t>
  </si>
  <si>
    <t>YPOR-YPO-HOT-PLANTA-HABITA12</t>
  </si>
  <si>
    <t>YPOR-YPO-HOT-PLANTA-HABITA13</t>
  </si>
  <si>
    <t>YPOR-YPO-HOT-PLANTA-HABITA14</t>
  </si>
  <si>
    <t>YPOR-YPO-HOT-PLANTA-HABITA15</t>
  </si>
  <si>
    <t>YPOR-YPO-HOT-PLANTA-HABITA16</t>
  </si>
  <si>
    <t>YPOR-YPO-HOT-PLANTA-HABITA17</t>
  </si>
  <si>
    <t>YPOR-YPO-HOT-PLANTA-HABITA18</t>
  </si>
  <si>
    <t>ESPE-ESP-CEL-ADMIN1-OFSESUBA</t>
  </si>
  <si>
    <t>ESPE-ESP-CEL-ADMIN1-OFAUINT2</t>
  </si>
  <si>
    <t>ESPE-ESP-CEL-ADMIN1-OFCONPRO</t>
  </si>
  <si>
    <t>ESPE-ESP-CEL-ADMIN1-OFCONFO2</t>
  </si>
  <si>
    <t>ESPE-ESP-CEL-ADMIN1-OFMASSO2</t>
  </si>
  <si>
    <t>ESPE-ESP-CEL-ADMIN2-OFJEFCYO</t>
  </si>
  <si>
    <t>ESPE-ESP-CEL-ADMIN2-OFCOSTOS</t>
  </si>
  <si>
    <t>ESPE-ESP-CEL-ADMIN2-OFSGMOVI</t>
  </si>
  <si>
    <t>ESPE-ESP-CEL-ADMIN2-ARCHIVO1</t>
  </si>
  <si>
    <t>ESPE-ESP-CEL-ADMIN2-OFCOCO01</t>
  </si>
  <si>
    <t>ESPE-ESP-CEL-ADMIN2-OFJEFECC</t>
  </si>
  <si>
    <t>ESPE-ESP-CEL-LOGIST-OFJEFLOG</t>
  </si>
  <si>
    <t>ESPE-ESP-CEL-LOGIST</t>
  </si>
  <si>
    <t>ESPE-ESP-CEL-LOGIST-SALREU01</t>
  </si>
  <si>
    <t>ESPE-ESP-CEL-VIGILA-COMEDOR1</t>
  </si>
  <si>
    <t>ESPE-ESP-CEL-VIGILA-OFJEFEQU</t>
  </si>
  <si>
    <t>ESPE-ESP-CEL-SISTEM-SUBGTEIN</t>
  </si>
  <si>
    <t>BOSS-BOS-ADM-BALANZ-OFOPERAD</t>
  </si>
  <si>
    <t>BOSS-BOS-ADM-CHALET-HABIT001</t>
  </si>
  <si>
    <t>BOSS-BOS-ADM-CHALET-HABIT002</t>
  </si>
  <si>
    <t>BOSS-BOS-ADM-CHALET-HABIT003</t>
  </si>
  <si>
    <t>BOSS-BOS-ADM-CHALET-HABIT004</t>
  </si>
  <si>
    <t>BOSS-BOS-ADM-CHALET-HABIT005</t>
  </si>
  <si>
    <t>BOSS-BOS-ADM-CHALET-HABIT006</t>
  </si>
  <si>
    <t>BOSS-BOS-ADM-CHALET-LIVING01</t>
  </si>
  <si>
    <t>BOSS-BOS-ADM-CASACU-CASACUID</t>
  </si>
  <si>
    <t>BOSS-BOS-ADM-COMEDO-COMEDOR1</t>
  </si>
  <si>
    <t>BOSS-BOS-ADM-ENFERM-CONSULTO</t>
  </si>
  <si>
    <t>BOSS-BOS-ADM-EXPEDI-OFIC0001</t>
  </si>
  <si>
    <t>BOSS-BOS-ADM-EXPEDI-OFIC0002</t>
  </si>
  <si>
    <t>BOSS-BOS-ADM-EXPEDI-QUINCAMI</t>
  </si>
  <si>
    <t>PIRA-PIR-HOT-HOTEL1-SALCOM20</t>
  </si>
  <si>
    <t>PIRA-PIR-HOT-HOTEL1-SALCOM21</t>
  </si>
  <si>
    <t>PIRA-PIR-HOT-HOTEL1-SALCOM22</t>
  </si>
  <si>
    <t>PIRA-PIR-HOT-HOTEL1-HABIT001</t>
  </si>
  <si>
    <t>PIRA-PIR-HOT-HOTEL1-HABIT010</t>
  </si>
  <si>
    <t>PIRA-PIR-HOT-HOTEL1-HABIT011</t>
  </si>
  <si>
    <t>PIRA-PIR-HOT-HOTEL1-HABIT012</t>
  </si>
  <si>
    <t>PIRA-PIR-HOT-HOTEL1-HABIT013</t>
  </si>
  <si>
    <t>PIRA-PIR-HOT-HOTEL1-HABIT014</t>
  </si>
  <si>
    <t>PIRA-PIR-HOT-HOTEL1-HABIT015</t>
  </si>
  <si>
    <t>PIRA-PIR-HOT-HOTEL1-HABIT016</t>
  </si>
  <si>
    <t>PIRA-PIR-HOT-HOTEL1-HABIT002</t>
  </si>
  <si>
    <t>PIRA-PIR-HOT-HOTEL1-HABIT003</t>
  </si>
  <si>
    <t>PIRA-PIR-HOT-HOTEL1-HABIT004</t>
  </si>
  <si>
    <t>PIRA-PIR-HOT-HOTEL1-HABIT005</t>
  </si>
  <si>
    <t>PIRA-PIR-HOT-HOTEL1-HABIT007</t>
  </si>
  <si>
    <t>PIRA-PIR-HOT-HOTEL1-HABIT008</t>
  </si>
  <si>
    <t>PIRA-PIR-HOT-HOTEL1-HABIT009</t>
  </si>
  <si>
    <t>PIRA-PIR-HOT-HOTEL1-LAVADERO</t>
  </si>
  <si>
    <t>PIRA-PIR-HOT-HOTEL1-OFICINA1</t>
  </si>
  <si>
    <t>PIRA-PIR-MDF-ADMIN2-OFAUDITO</t>
  </si>
  <si>
    <t>PIRA-PIR-MDF-ALMACN-OFOPERAD</t>
  </si>
  <si>
    <t>PIRA-PIR-MDF-ALMACN-OFRECEPC</t>
  </si>
  <si>
    <t>PIRA-PIR-MDF-MANTEN-OFIC0001</t>
  </si>
  <si>
    <t>PIRA-PIR-MDF-MANTEN-OFIC0003</t>
  </si>
  <si>
    <t>PIRA-PIR-MDF-MANTEN-OFIC0005</t>
  </si>
  <si>
    <t>PIRA-PIR-MDF-MANTEN-OFIC0002</t>
  </si>
  <si>
    <t>PIRA-PIR-MDF-MANTEN-OFIC0010</t>
  </si>
  <si>
    <t>PIRA-PIR-MDF-MANTEN-ARCHIVO1</t>
  </si>
  <si>
    <t>PIRA-PIR-MDF-MANTEN-OFIC0009</t>
  </si>
  <si>
    <t>PIRA-PIR-MDF-MANTEN-OFIC0011</t>
  </si>
  <si>
    <t>PIRA-PIR-MDF-MANTEN-SALCAP01</t>
  </si>
  <si>
    <t>PIRA-PIR-MDF-MANTEN-OFIC0008</t>
  </si>
  <si>
    <t>PIRA-PIR-MDF-PLATER-TALLERES</t>
  </si>
  <si>
    <t>PIRA-PIR-MDF-PLATER-SALAELEC</t>
  </si>
  <si>
    <t>PIRA-PIR-MDF-PLATER-SALELESE</t>
  </si>
  <si>
    <t>PIRA-PIR-MDF-PLATER-TALLERLU</t>
  </si>
  <si>
    <t>Garita R12</t>
  </si>
  <si>
    <t>GARI-GAR-RUT-ADMIN1-OFJEDIST</t>
  </si>
  <si>
    <t>GARI-GAR-RUT-ADMIN1-OFCAMTRA</t>
  </si>
  <si>
    <t>GARI-GAR-RUT-ADMIN1-RECEPCIO</t>
  </si>
  <si>
    <t>GARI-GAR-RUT-ADMIN1-SALCAP01</t>
  </si>
  <si>
    <t>GARI-GAR-RUT-ADMIN1-SALREU01</t>
  </si>
  <si>
    <t>GARI-GAR-RUT-ADMIN1-COMEDOR1</t>
  </si>
  <si>
    <t>YPOR-YPO-GOF-ADMIN1-OFIC0014</t>
  </si>
  <si>
    <t>YPOR-YPO-GOF-ADMIN1-OFIC0015</t>
  </si>
  <si>
    <t>YPOR-YPO-GOF-ADMIN1-OFIC0019</t>
  </si>
  <si>
    <t>YPOR-YPO-GOF-ADMIN1-OFIC0020</t>
  </si>
  <si>
    <t>YPOR-YPO-GOF-ADMIN1-OFIC0024</t>
  </si>
  <si>
    <t>YPOR-YPO-GOF-LABORA-MEJOGENE</t>
  </si>
  <si>
    <t>YPOR-YPO-GOF-VIVERO-VIVEALMA</t>
  </si>
  <si>
    <t>YPOR-YPO-GOF-VIVERO-OFIC0002</t>
  </si>
  <si>
    <t>YPOR-YPO-GOF-VIVERO-OFIC0004</t>
  </si>
  <si>
    <t>YPOR-YPO-GOF-VIVERO-OFIC0001</t>
  </si>
  <si>
    <t>YPOR-YPO-GOF-VIVERO-OFIC0005</t>
  </si>
  <si>
    <t>YPOR-YPO-GOF-VIVERO-OFIC0006</t>
  </si>
  <si>
    <t>YPOR-YPO-GOF-VIVERO-OFIC0003</t>
  </si>
  <si>
    <t>Fin deseado</t>
  </si>
  <si>
    <t>Aviso</t>
  </si>
  <si>
    <t>Orden</t>
  </si>
  <si>
    <t>Status usuario</t>
  </si>
  <si>
    <t>Denominación</t>
  </si>
  <si>
    <t>Descripción</t>
  </si>
  <si>
    <t>Centro coste</t>
  </si>
  <si>
    <t>Ubicac.técnica</t>
  </si>
  <si>
    <t>Centro PtoTbjo</t>
  </si>
  <si>
    <t xml:space="preserve">Frecuencia </t>
  </si>
  <si>
    <t>Fecha de aviso</t>
  </si>
  <si>
    <t xml:space="preserve">Mensuales </t>
  </si>
  <si>
    <t xml:space="preserve">COD. NUEVO </t>
  </si>
  <si>
    <t xml:space="preserve">OF. RRHH CELULOSA </t>
  </si>
  <si>
    <t>OF. JEFE DE SEGURIDAD. GRACIELA BENITEZ</t>
  </si>
  <si>
    <t>Of. Supervisor Seguridad y Salud E CABRERA</t>
  </si>
  <si>
    <t xml:space="preserve">Of. Jefe de Costos ESCALADA LIZANDRO </t>
  </si>
  <si>
    <t>CONSULTORIO 1</t>
  </si>
  <si>
    <t>CONSULTORIO 2</t>
  </si>
  <si>
    <t>SALA DE REUNIONES RR.HH.</t>
  </si>
  <si>
    <t xml:space="preserve">CONSULTORIO ENFERMERIA </t>
  </si>
  <si>
    <t xml:space="preserve">OFICINA DE VICITAS GERENCIA </t>
  </si>
  <si>
    <t>CEL-AD1-27</t>
  </si>
  <si>
    <t>CEL-AD1-28</t>
  </si>
  <si>
    <t xml:space="preserve">OFICINAS SOEP </t>
  </si>
  <si>
    <t>PYP-AD1-1</t>
  </si>
  <si>
    <t>PYP-AD1-3</t>
  </si>
  <si>
    <t xml:space="preserve">OFICINA DEL secretaria GTE FORESTAL </t>
  </si>
  <si>
    <t xml:space="preserve">DESCRIPCION NUEVA </t>
  </si>
  <si>
    <t xml:space="preserve">OFICINA 01 SECRETARIA DE GERENCIA </t>
  </si>
  <si>
    <t xml:space="preserve">SALA REUNIONES LAPACHO </t>
  </si>
  <si>
    <t>OFICIAN 02 SYSO</t>
  </si>
  <si>
    <t xml:space="preserve">OFICINA 03 CARTOGRAFIA </t>
  </si>
  <si>
    <t xml:space="preserve">OFICIANA 04 </t>
  </si>
  <si>
    <t>OFICINA 05</t>
  </si>
  <si>
    <t>OFICINA 06</t>
  </si>
  <si>
    <t>OFICINA 07</t>
  </si>
  <si>
    <t>OFICINA 09</t>
  </si>
  <si>
    <t>OFICIAN 10</t>
  </si>
  <si>
    <t>OFICINA 11</t>
  </si>
  <si>
    <t>OFICINA 12</t>
  </si>
  <si>
    <t>OFICINA 13</t>
  </si>
  <si>
    <t xml:space="preserve">OFICINA 14 </t>
  </si>
  <si>
    <t>OFICINA 15</t>
  </si>
  <si>
    <t xml:space="preserve">ACCESO AL AREA TECNICA </t>
  </si>
  <si>
    <t xml:space="preserve">SALA PEROBA GERENCIA </t>
  </si>
  <si>
    <t xml:space="preserve">OFICIAN 19 GERENTE FORESTAL </t>
  </si>
  <si>
    <t xml:space="preserve">SALA CEDROS </t>
  </si>
  <si>
    <t>PYP-AD1-2</t>
  </si>
  <si>
    <t>PYP-AD1-5</t>
  </si>
  <si>
    <t xml:space="preserve">OFICIAN 20 SUB GERENTE </t>
  </si>
  <si>
    <t xml:space="preserve">OFICIAN 21 </t>
  </si>
  <si>
    <t xml:space="preserve">OFICINA 22 </t>
  </si>
  <si>
    <t>OFICINA 24</t>
  </si>
  <si>
    <t>OFICINA 25</t>
  </si>
  <si>
    <t>OFICINA 26</t>
  </si>
  <si>
    <t xml:space="preserve">NUEVA ALA TECNICA </t>
  </si>
  <si>
    <t xml:space="preserve">OFICINA 16 GUSTABO BARRIOS </t>
  </si>
  <si>
    <t xml:space="preserve">OFICINA 08  BOYCO LORENA </t>
  </si>
  <si>
    <t>OFICINA 23 PABLO CORTEZ</t>
  </si>
  <si>
    <t>OFICINA 18 GERMAN RAUTER</t>
  </si>
  <si>
    <t>APOBA1-895</t>
  </si>
  <si>
    <t>ESPE-ESP-CEL-SISTEM</t>
  </si>
  <si>
    <t>PIRA-PIR-BVR-MANZA1-CASA0011</t>
  </si>
  <si>
    <t>FORESTAL</t>
  </si>
  <si>
    <t>ESPE-ESP-CEL-BALANZ-OFOPERA1</t>
  </si>
  <si>
    <t>MDF-EXP-3</t>
  </si>
  <si>
    <t>ESPE-ESP-CEL-ADMIN1</t>
  </si>
  <si>
    <t>ESPE-ESP-CEL-ADMIN1-EXAPUNTADORES</t>
  </si>
  <si>
    <t>ESPE-ESP-CEL-BALANZ-OFOPERA2</t>
  </si>
  <si>
    <t>QUINCHO DE CAMONEROS</t>
  </si>
  <si>
    <t>CEL-LOG-6</t>
  </si>
  <si>
    <t>CEL-LOG-7</t>
  </si>
  <si>
    <t xml:space="preserve">VIGILANCIA </t>
  </si>
  <si>
    <t>BOSS-BOS-ADM-VIGILA-OFICINA1</t>
  </si>
  <si>
    <t>OFICINA PUESTO VIGILANCIA</t>
  </si>
  <si>
    <t>CLO-VIG-1</t>
  </si>
  <si>
    <t>CLO-CHA-9</t>
  </si>
  <si>
    <t>CLO-CHA-10</t>
  </si>
  <si>
    <t>BOSS-BOS-ADM-CHALET-COCINA01</t>
  </si>
  <si>
    <t>BOSS-BOS-ADM-CASACU-HABITAC01</t>
  </si>
  <si>
    <t>COCINA 01</t>
  </si>
  <si>
    <t xml:space="preserve">HABITACION 1 </t>
  </si>
  <si>
    <t>MDF-AD1-21</t>
  </si>
  <si>
    <t>PIRA-PIR-MDF-ADMIN1-DISTRRED</t>
  </si>
  <si>
    <t xml:space="preserve">Distribución de red </t>
  </si>
  <si>
    <t>PIRA-PIR-MDF-ADMIN2</t>
  </si>
  <si>
    <t>Sala de Reuniones SS.GG.</t>
  </si>
  <si>
    <t>MDF-AD2-25</t>
  </si>
  <si>
    <t xml:space="preserve">Compra a terceros </t>
  </si>
  <si>
    <t>MDF-AD2-27</t>
  </si>
  <si>
    <t xml:space="preserve">Ofician Doctora </t>
  </si>
  <si>
    <t>MDF-AD2-28</t>
  </si>
  <si>
    <t>MDF-AD2-26</t>
  </si>
  <si>
    <t xml:space="preserve">Ofician de Prensa y difucion </t>
  </si>
  <si>
    <t>Aduana</t>
  </si>
  <si>
    <t>PIRA-PIR-ASE-ESCUEL-SALONESC</t>
  </si>
  <si>
    <t>OF Aduana</t>
  </si>
  <si>
    <t>ASE-ADU-1</t>
  </si>
  <si>
    <t>ASE-ADU-2</t>
  </si>
  <si>
    <t xml:space="preserve">Criadero de semilla </t>
  </si>
  <si>
    <t>PYP-LAB-5</t>
  </si>
  <si>
    <t xml:space="preserve">TRIMESTRALES </t>
  </si>
  <si>
    <t>No Planif</t>
  </si>
  <si>
    <t xml:space="preserve">Garita R 12 </t>
  </si>
  <si>
    <t xml:space="preserve">*Iluminación y tomas de Comedor </t>
  </si>
  <si>
    <t xml:space="preserve">*Iluminación y tomas de sala de capacitación </t>
  </si>
  <si>
    <t xml:space="preserve">* Iluminación y tomas casa de guarda parque </t>
  </si>
  <si>
    <t xml:space="preserve">Rotulado de tablero </t>
  </si>
  <si>
    <t xml:space="preserve">Club Residencia </t>
  </si>
  <si>
    <t>Celulosa</t>
  </si>
  <si>
    <t xml:space="preserve">Tomas e iluminación de pasillos  </t>
  </si>
  <si>
    <t>APFES1-711</t>
  </si>
  <si>
    <t>APFES1-701</t>
  </si>
  <si>
    <t>APFES1-714</t>
  </si>
  <si>
    <t>APCES1-307</t>
  </si>
  <si>
    <t xml:space="preserve">TAREA </t>
  </si>
  <si>
    <t xml:space="preserve">AREA </t>
  </si>
  <si>
    <t xml:space="preserve">C L Bossetti </t>
  </si>
  <si>
    <t>PREDIO YPORA</t>
  </si>
  <si>
    <t>PIRAY</t>
  </si>
  <si>
    <t xml:space="preserve">Hotel </t>
  </si>
  <si>
    <t xml:space="preserve">ASERRADERO </t>
  </si>
  <si>
    <t xml:space="preserve">SECTORES COMUNES </t>
  </si>
  <si>
    <t>SECTORES COMUNES</t>
  </si>
  <si>
    <t xml:space="preserve">OFICINAS </t>
  </si>
  <si>
    <t>BAÑOS</t>
  </si>
  <si>
    <t xml:space="preserve">SALA DE CAPACITACION </t>
  </si>
  <si>
    <t>HOTEL</t>
  </si>
  <si>
    <t>MZ 128 CASA 1</t>
  </si>
  <si>
    <t>MZ 128 CASA 2</t>
  </si>
  <si>
    <t>MZ 128 CASA 3</t>
  </si>
  <si>
    <t>MZ 129 CASA 1</t>
  </si>
  <si>
    <t>MZ 129 CASA 2</t>
  </si>
  <si>
    <t>MZ 129 CASA 3</t>
  </si>
  <si>
    <t>MZ 129 CASA 4</t>
  </si>
  <si>
    <t>MZ 130 CASA 1</t>
  </si>
  <si>
    <t>MZ 130 CASA 2</t>
  </si>
  <si>
    <t>MZ 130 CASA 3</t>
  </si>
  <si>
    <t>MZ 130 CASA 4</t>
  </si>
  <si>
    <t>MZ 130 CASA 5</t>
  </si>
  <si>
    <t>MZ 130 CASA 6</t>
  </si>
  <si>
    <t>MZ 130 CASA 7</t>
  </si>
  <si>
    <t>MZ 130 CASA 8</t>
  </si>
  <si>
    <t>MZ 130 CASA 9</t>
  </si>
  <si>
    <t>MZ 132 CASA 1</t>
  </si>
  <si>
    <t>MZ 132 CASA 2</t>
  </si>
  <si>
    <t>MZ 132 CASA 3</t>
  </si>
  <si>
    <t>MZ 132 CASA 4</t>
  </si>
  <si>
    <t>MZ 132 CASA 5</t>
  </si>
  <si>
    <t>MZ 132 CASA 6</t>
  </si>
  <si>
    <t>MZ 132 CASA 10</t>
  </si>
  <si>
    <t>MZ 133 CASA 1</t>
  </si>
  <si>
    <t>MZ 133 CASA 2</t>
  </si>
  <si>
    <t>MZ 133 CASA 3</t>
  </si>
  <si>
    <t>MZ 133 CASA 4</t>
  </si>
  <si>
    <t>MZ 133 CASA 13</t>
  </si>
  <si>
    <t>MZ 133 CASA 14</t>
  </si>
  <si>
    <t>MZ 133 CASA 15</t>
  </si>
  <si>
    <t>MZ 133 CASA 16</t>
  </si>
  <si>
    <t>MZ 134 CASA 1</t>
  </si>
  <si>
    <t>MZ 134 CASA 2</t>
  </si>
  <si>
    <t>MZ 134 CASA 3</t>
  </si>
  <si>
    <t>MZ 134 CASA 4</t>
  </si>
  <si>
    <t>MZ 134 CASA 5</t>
  </si>
  <si>
    <t>MZ 134 CASA 6</t>
  </si>
  <si>
    <t>MZ 135 CASA 1</t>
  </si>
  <si>
    <t>MZ 135 CASA 2</t>
  </si>
  <si>
    <t>MZ 135 CASA 3</t>
  </si>
  <si>
    <t>MZ 135 CASA 4</t>
  </si>
  <si>
    <t>MZ 135 CASA 5</t>
  </si>
  <si>
    <t>MZ 135 CASA 6</t>
  </si>
  <si>
    <t>MZ 135 CASA 10</t>
  </si>
  <si>
    <t>MZ 136 CASA 12</t>
  </si>
  <si>
    <t>MZ 136 CASA 14</t>
  </si>
  <si>
    <t>ESPERANZA B</t>
  </si>
  <si>
    <t>CASA 1 Y 2</t>
  </si>
  <si>
    <t>CASA 3</t>
  </si>
  <si>
    <t>CASA 4</t>
  </si>
  <si>
    <t>CASA 5</t>
  </si>
  <si>
    <t>CASA 6</t>
  </si>
  <si>
    <t>CASA 7</t>
  </si>
  <si>
    <t>CASA 8</t>
  </si>
  <si>
    <t>CASA 10</t>
  </si>
  <si>
    <t>CASA 11</t>
  </si>
  <si>
    <t>CASA 12</t>
  </si>
  <si>
    <t>CASA 13</t>
  </si>
  <si>
    <t>CASA 14</t>
  </si>
  <si>
    <t>CASA 15</t>
  </si>
  <si>
    <t>CASA 16</t>
  </si>
  <si>
    <t>CASA 17</t>
  </si>
  <si>
    <t>CASA 18</t>
  </si>
  <si>
    <t>CASA 19</t>
  </si>
  <si>
    <t>CASA 20</t>
  </si>
  <si>
    <t>CASA 21</t>
  </si>
  <si>
    <t>CASA 22</t>
  </si>
  <si>
    <t>CASA 23</t>
  </si>
  <si>
    <t>CASA 24</t>
  </si>
  <si>
    <t>CASA 25</t>
  </si>
  <si>
    <t>CASA 26</t>
  </si>
  <si>
    <t>CASA 27</t>
  </si>
  <si>
    <t>CASA 28</t>
  </si>
  <si>
    <t>CASA 29</t>
  </si>
  <si>
    <t>CASA 30</t>
  </si>
  <si>
    <t>CASA 31</t>
  </si>
  <si>
    <t>CASA 32</t>
  </si>
  <si>
    <t>CASA 33</t>
  </si>
  <si>
    <t>CASA 34</t>
  </si>
  <si>
    <t>CASA 35</t>
  </si>
  <si>
    <t>CASA 36</t>
  </si>
  <si>
    <t>CASA 37</t>
  </si>
  <si>
    <t>CASA 38</t>
  </si>
  <si>
    <t>CASA 39</t>
  </si>
  <si>
    <t>CASA 40</t>
  </si>
  <si>
    <t>CASA 41</t>
  </si>
  <si>
    <t>CASA 42</t>
  </si>
  <si>
    <t>CASA 43</t>
  </si>
  <si>
    <t>CASA 44</t>
  </si>
  <si>
    <t>CASA 45</t>
  </si>
  <si>
    <t>CASA 46</t>
  </si>
  <si>
    <t xml:space="preserve">KM 1 </t>
  </si>
  <si>
    <t xml:space="preserve">VILLA ROSARIO </t>
  </si>
  <si>
    <t xml:space="preserve">CASA 1 </t>
  </si>
  <si>
    <t xml:space="preserve">CASA 2 </t>
  </si>
  <si>
    <t xml:space="preserve">CASA 4 </t>
  </si>
  <si>
    <t xml:space="preserve">CASA 5 </t>
  </si>
  <si>
    <t xml:space="preserve">CASA 6 </t>
  </si>
  <si>
    <t xml:space="preserve">CASA 7 </t>
  </si>
  <si>
    <t xml:space="preserve">CASA 8 </t>
  </si>
  <si>
    <t xml:space="preserve">CASA 9 </t>
  </si>
  <si>
    <t xml:space="preserve">CASA 10 </t>
  </si>
  <si>
    <t xml:space="preserve">CASA 11 </t>
  </si>
  <si>
    <t xml:space="preserve">CASA 12 </t>
  </si>
  <si>
    <t xml:space="preserve">CASA 13 </t>
  </si>
  <si>
    <t xml:space="preserve">CASA 14 </t>
  </si>
  <si>
    <t xml:space="preserve">CASA 15 </t>
  </si>
  <si>
    <t xml:space="preserve">CASA 16 </t>
  </si>
  <si>
    <t xml:space="preserve">BARRIO PARQUE </t>
  </si>
  <si>
    <t>CASA 1</t>
  </si>
  <si>
    <t>CASA 2</t>
  </si>
  <si>
    <t xml:space="preserve">ZONA EXTERNA </t>
  </si>
  <si>
    <t>SERVICIO MEDICO</t>
  </si>
  <si>
    <t>EXPEDICION</t>
  </si>
  <si>
    <t>RESEPCION FORESTAL</t>
  </si>
  <si>
    <t>ADUANA</t>
  </si>
  <si>
    <t>BALANZAS</t>
  </si>
  <si>
    <t>QUINCHO DE CAMIO</t>
  </si>
  <si>
    <t>MZ 136 C 13  DPTO 3</t>
  </si>
  <si>
    <t>MZ 136 C 13  DPTO 2</t>
  </si>
  <si>
    <t>MZ 136 C 13  DPTO 1</t>
  </si>
  <si>
    <t xml:space="preserve">* Iluminación de espacios Comunes  </t>
  </si>
  <si>
    <t xml:space="preserve">* Iluminación y tomas de baños  </t>
  </si>
  <si>
    <t>INTER</t>
  </si>
  <si>
    <t>CUMPL</t>
  </si>
  <si>
    <t>ACUM</t>
  </si>
  <si>
    <t>ACUM PLA</t>
  </si>
  <si>
    <t>INTERVENSIONES REFRIGERACION</t>
  </si>
  <si>
    <t xml:space="preserve">INTERVENSIONES ELECTRICAS </t>
  </si>
  <si>
    <t xml:space="preserve">GENERADORES </t>
  </si>
  <si>
    <t xml:space="preserve">Sede </t>
  </si>
  <si>
    <t xml:space="preserve">Detalle </t>
  </si>
  <si>
    <t xml:space="preserve">Potencia </t>
  </si>
  <si>
    <t xml:space="preserve">Responsable </t>
  </si>
  <si>
    <t xml:space="preserve">CODIGO </t>
  </si>
  <si>
    <t xml:space="preserve">Bossetti  </t>
  </si>
  <si>
    <t xml:space="preserve">Grupo Electrógeno Diésel </t>
  </si>
  <si>
    <t>80 KVA</t>
  </si>
  <si>
    <t xml:space="preserve">Vivero </t>
  </si>
  <si>
    <t>GGE-80KVA-VIB</t>
  </si>
  <si>
    <t xml:space="preserve">Bossetti </t>
  </si>
  <si>
    <t>Grupo Electrógeno Nafta</t>
  </si>
  <si>
    <t>10 kVA</t>
  </si>
  <si>
    <t>SS.GG.</t>
  </si>
  <si>
    <t>GGE-12KVA-CHB</t>
  </si>
  <si>
    <t>31 kVA</t>
  </si>
  <si>
    <t xml:space="preserve">CLB </t>
  </si>
  <si>
    <t>GGE-31KVA-CLB</t>
  </si>
  <si>
    <t>7,5 KVA</t>
  </si>
  <si>
    <t>GGE-7,5KVA-CLB</t>
  </si>
  <si>
    <t xml:space="preserve">Y-Pora </t>
  </si>
  <si>
    <t>164 KVA</t>
  </si>
  <si>
    <t xml:space="preserve">GOF </t>
  </si>
  <si>
    <t>GGE-164KVA-VYP</t>
  </si>
  <si>
    <t>100 KVA</t>
  </si>
  <si>
    <t>GGE-100KVA-HYP</t>
  </si>
  <si>
    <t>10 KVA</t>
  </si>
  <si>
    <t>GGE-10KVA-BAC</t>
  </si>
  <si>
    <t>GGE-7,5KVA-BAP</t>
  </si>
  <si>
    <t xml:space="preserve">PALMITOS </t>
  </si>
  <si>
    <t>31,3 KVA</t>
  </si>
  <si>
    <t xml:space="preserve">FORESTAL </t>
  </si>
  <si>
    <t>GGE-7,5KVA-PAL</t>
  </si>
  <si>
    <t>GGE-31,3KVA-PAL</t>
  </si>
  <si>
    <t>ELDORADO</t>
  </si>
  <si>
    <t>11 KVA</t>
  </si>
  <si>
    <t>GGE-11KVA-GCE</t>
  </si>
  <si>
    <t xml:space="preserve"> % CUMPLIMINETO AIRE </t>
  </si>
  <si>
    <t xml:space="preserve">% DE INCIDENCIA DEL SERVICIO </t>
  </si>
  <si>
    <t xml:space="preserve">MANTENIMINETO DE AIRE ACONDICIONADO </t>
  </si>
  <si>
    <t xml:space="preserve">MANTENIMINETO ELECTRICO </t>
  </si>
  <si>
    <t xml:space="preserve"> % CUMPLIMINETO ELECTRICO</t>
  </si>
  <si>
    <t xml:space="preserve">GRUPO GENERADOR </t>
  </si>
  <si>
    <t xml:space="preserve">TOTAL DE SERVICIO </t>
  </si>
  <si>
    <t xml:space="preserve"> % CUMPLIMINETO GENERADORES </t>
  </si>
  <si>
    <t>Monto</t>
  </si>
  <si>
    <t>APCES1-348</t>
  </si>
  <si>
    <t>APFES1-201</t>
  </si>
  <si>
    <t>APFES1-713</t>
  </si>
  <si>
    <t>SSGG CELULOSA</t>
  </si>
  <si>
    <t>SSGG BOSSEETTI</t>
  </si>
  <si>
    <t>SSGG YPORA</t>
  </si>
  <si>
    <t>HOSTERIA</t>
  </si>
  <si>
    <t>IMPUTACIONES SERVICIO BASICO MENSUAL</t>
  </si>
  <si>
    <t xml:space="preserve">PLANTA </t>
  </si>
  <si>
    <t>CUENTA</t>
  </si>
  <si>
    <t>CeCO</t>
  </si>
  <si>
    <t>%</t>
  </si>
  <si>
    <t>ESPE-ESP-CEL-PORTER-MTTOAA03</t>
  </si>
  <si>
    <t>PIRA-PIR-MDF-ADMIN1</t>
  </si>
  <si>
    <t>GARI-GAR-RUT-ADMIN1</t>
  </si>
  <si>
    <t>GARI-GAR-RUT-ADMIN1-BAADMIN1</t>
  </si>
  <si>
    <t>GARI-GAR-RUT-ADMIN1-VIVGUAPA</t>
  </si>
  <si>
    <t>BOSS-BOS-ADM-CHALET</t>
  </si>
  <si>
    <t>BOSS-BOS-ADM-CHALET-PILETA01</t>
  </si>
  <si>
    <t>BOSS-BOS-ADM-CASACU</t>
  </si>
  <si>
    <t>BOSS-BOS-ADM-ADMIN1</t>
  </si>
  <si>
    <t>ESPE-ESP-CLU-CLUBRE</t>
  </si>
  <si>
    <t>YPOR-YPO-GOF</t>
  </si>
  <si>
    <t>YPOR-YPO-GOF-VIGILA</t>
  </si>
  <si>
    <t>YPOR-YPO-GOF-LABORA</t>
  </si>
  <si>
    <t>YPOR-YPO-HOT</t>
  </si>
  <si>
    <t>YPOR-YPO-HOT-HOTEL1-GIMNASIO</t>
  </si>
  <si>
    <t>YPOR-YPO-HOT-EXTERN</t>
  </si>
  <si>
    <t>ESPE-ESP-ESB-MAN128-CASA0001</t>
  </si>
  <si>
    <t>ESPE-ESP-ESB-MAN128-CASA0002</t>
  </si>
  <si>
    <t>ESPE-ESP-ESB-MAN128-CASA0003</t>
  </si>
  <si>
    <t>ESPE-ESP-ESB-MAN129-CASA0001</t>
  </si>
  <si>
    <t>ESPE-ESP-ESB-MAN129-CASA0002</t>
  </si>
  <si>
    <t>ESPE-ESP-ESB-MAN129-CASA0003</t>
  </si>
  <si>
    <t>ESPE-ESP-ESB-MAN129-CASA0004</t>
  </si>
  <si>
    <t>ESPE-ESP-ESB-MAN130-CASA0001</t>
  </si>
  <si>
    <t>ESPE-ESP-ESB-MAN130-CASA0002</t>
  </si>
  <si>
    <t>ESPE-ESP-ESB-MAN130-CASA0003</t>
  </si>
  <si>
    <t>ESPE-ESP-ESB-MAN130-CASA0004</t>
  </si>
  <si>
    <t>ESPE-ESP-ESB-MAN130-CASA0005</t>
  </si>
  <si>
    <t>ESPE-ESP-ESB-MAN130-CASA0006</t>
  </si>
  <si>
    <t>ESPE-ESP-ESB-MAN130-CASA0007</t>
  </si>
  <si>
    <t>ESPE-ESP-ESB-MAN130-CASA0008</t>
  </si>
  <si>
    <t>ESPE-ESP-ESB-MAN130-CASA0009</t>
  </si>
  <si>
    <t>ESPE-ESP-ESB-MAN132-CASA0001</t>
  </si>
  <si>
    <t>ESPE-ESP-ESB-MAN132-CASA0002</t>
  </si>
  <si>
    <t>ESPE-ESP-ESB-MAN132-CASA0003</t>
  </si>
  <si>
    <t>ESPE-ESP-ESB-MAN132-CASA0004</t>
  </si>
  <si>
    <t>ESPE-ESP-ESB-MAN132-CASA0005</t>
  </si>
  <si>
    <t>ESPE-ESP-ESB-MAN132-CASA0006</t>
  </si>
  <si>
    <t>ESPE-ESP-ESB-MAN132-CASA0010</t>
  </si>
  <si>
    <t>ESPE-ESP-ESB-MAN133-CASA0001</t>
  </si>
  <si>
    <t>ESPE-ESP-ESB-MAN133-CASA0002</t>
  </si>
  <si>
    <t>ESPE-ESP-ESB-MAN133-CASA0003</t>
  </si>
  <si>
    <t>ESPE-ESP-ESB-MAN133-CASA0004</t>
  </si>
  <si>
    <t>ESPE-ESP-ESB-MAN133-CASA0005</t>
  </si>
  <si>
    <t>ESPE-ESP-ESB-MAN133-CASA0006</t>
  </si>
  <si>
    <t>ESPE-ESP-ESB-MAN133-CASA0007</t>
  </si>
  <si>
    <t>ESPE-ESP-ESB-MAN133-CASA0008</t>
  </si>
  <si>
    <t>ESPE-ESP-ESB-MAN134-CASA0001</t>
  </si>
  <si>
    <t>ESPE-ESP-ESB-MAN134-CASA0002</t>
  </si>
  <si>
    <t>ESPE-ESP-ESB-MAN134-CASA0003</t>
  </si>
  <si>
    <t>ESPE-ESP-ESB-MAN134-CASA0004</t>
  </si>
  <si>
    <t>ESPE-ESP-ESB-MAN134-CASA0005</t>
  </si>
  <si>
    <t>ESPE-ESP-ESB-MAN134-CASA0006</t>
  </si>
  <si>
    <t>ESPE-ESP-ESB-MAN135-CASA0001</t>
  </si>
  <si>
    <t>ESPE-ESP-ESB-MAN135-CASA0002</t>
  </si>
  <si>
    <t>ESPE-ESP-ESB-MAN135-CASA0003</t>
  </si>
  <si>
    <t>ESPE-ESP-ESB-MAN135-CASA0004</t>
  </si>
  <si>
    <t>ESPE-ESP-ESB-MAN135-CASA0005</t>
  </si>
  <si>
    <t>ESPE-ESP-ESB-MAN135-CASA0006</t>
  </si>
  <si>
    <t>ESPE-ESP-ESB-MAN135-CASA0010</t>
  </si>
  <si>
    <t>ESPE-ESP-KM1-MANZA1</t>
  </si>
  <si>
    <t>ESPE-ESP-KM1-MANZA1-CASA0001</t>
  </si>
  <si>
    <t>ESPE-ESP-KM1-MANZA1-CASA0003</t>
  </si>
  <si>
    <t>ESPE-ESP-KM1-MANZA1-CASA0004</t>
  </si>
  <si>
    <t>ESPE-ESP-KM1-MANZA1-CASA0005</t>
  </si>
  <si>
    <t>ESPE-ESP-KM1-MANZA1-CASA0006</t>
  </si>
  <si>
    <t>ESPE-ESP-KM1-MANZA1-CASA0007</t>
  </si>
  <si>
    <t>PIRA-PIR-BVR-ALUMBR</t>
  </si>
  <si>
    <t>PIRA-PIR-BVR-MANZA1-CASA0001</t>
  </si>
  <si>
    <t>PIRA-PIR-BVR-MANZA1-CASA0002</t>
  </si>
  <si>
    <t>PIRA-PIR-BVR-MANZA1-CASA0003</t>
  </si>
  <si>
    <t>PIRA-PIR-BVR-MANZA1-CASA0004</t>
  </si>
  <si>
    <t>PIRA-PIR-BVR-MANZA1-CASA0005</t>
  </si>
  <si>
    <t>PIRA-PIR-BVR-MANZA1-CASA0006</t>
  </si>
  <si>
    <t>PIRA-PIR-BVR-MANZA1-CASA0007</t>
  </si>
  <si>
    <t>PIRA-PIR-BVR-MANZA1-CASA0008</t>
  </si>
  <si>
    <t>PIRA-PIR-BVR-MANZA1-CASA0009</t>
  </si>
  <si>
    <t>PIRA-PIR-BVR-MANZA1-CASA0010</t>
  </si>
  <si>
    <t>PIRA-PIR-BVR-MANZA1-CASA0012</t>
  </si>
  <si>
    <t>PIRA-PIR-BVR-MANZA2-CASA0013</t>
  </si>
  <si>
    <t>PIRA-PIR-BVR-MANZA2-CASA0014</t>
  </si>
  <si>
    <t>PIRA-PIR-BVR-MANZA2-CASA0015</t>
  </si>
  <si>
    <t>PIRA-PIR-BVR-MANZA2-CASA0016</t>
  </si>
  <si>
    <t>PIRA-PIR-BPA-ALUMBR</t>
  </si>
  <si>
    <t>PIRA-PIR-BPA-TANQUE</t>
  </si>
  <si>
    <t>PIRA-PIR-BPA-MANZA1-CASA0001</t>
  </si>
  <si>
    <t>PIRA-PIR-BPA-MANZA1-CASA0002</t>
  </si>
  <si>
    <t>PIRA-PIR-BPA-MANZA1-CASA0003</t>
  </si>
  <si>
    <t>PIRA-PIR-BPA-MANZA1-CASA0004</t>
  </si>
  <si>
    <t>PIRA-PIR-BPA-MANZA1-CASA0005</t>
  </si>
  <si>
    <t>PIRA-PIR-BPA-MANZA1-CASA0006</t>
  </si>
  <si>
    <t>PIRA-PIR-BPA-MANZA1-CASA0007</t>
  </si>
  <si>
    <t>PIRA-PIR-BPA-MANZA1-CASA0008</t>
  </si>
  <si>
    <t>PIRA-PIR-BPA-MANZA2-CASA0009</t>
  </si>
  <si>
    <t>PIRA-PIR-BPA-MANZA2-CASA0010</t>
  </si>
  <si>
    <t>PIRA-PIR-BPA-MANZA2-CASA0011</t>
  </si>
  <si>
    <t>PIRA-PIR-BPA-MANZA2-CASA0012</t>
  </si>
  <si>
    <t>PIRA-PIR-BPA-MANZA2-CASA0013</t>
  </si>
  <si>
    <t>PIRA-PIR-BPA-MANZA2-CASA0014</t>
  </si>
  <si>
    <t>PIRA-PIR-BPA-MANZA2-CASA0015</t>
  </si>
  <si>
    <t>PIRA-PIR-BPA-MANZA2-CASA0016</t>
  </si>
  <si>
    <t>PIRA-PIR-BPA-MANZA2-CASA0017</t>
  </si>
  <si>
    <t>PIRA-PIR-BPA-MANZA2-CASA0018</t>
  </si>
  <si>
    <t>PIRA-PIR-BPA-MANZA2-CASA0019</t>
  </si>
  <si>
    <t>PIRA-PIR-BPA-MANZA2-CASA0020</t>
  </si>
  <si>
    <t>PIRA-PIR-BPA-MANZA2-CASA0021</t>
  </si>
  <si>
    <t>PIRA-PIR-BPA-MANZA2-CASA0022</t>
  </si>
  <si>
    <t>PIRA-PIR-BPA-MANZA2-CASA0023</t>
  </si>
  <si>
    <t>PIRA-PIR-ASE</t>
  </si>
  <si>
    <t>PIRA-PIR-HOT</t>
  </si>
  <si>
    <t xml:space="preserve">Iluminación ext perim casa cuidador </t>
  </si>
  <si>
    <t xml:space="preserve">Iluminación ext sector ex administración </t>
  </si>
  <si>
    <t xml:space="preserve">Iluminacion de calles internas  </t>
  </si>
  <si>
    <t xml:space="preserve">tomas e ilum de oficinas de GOF </t>
  </si>
  <si>
    <t xml:space="preserve">Tomas e iluminación de  vigilancia </t>
  </si>
  <si>
    <t xml:space="preserve">Tomas e ilum de Laboratorios  </t>
  </si>
  <si>
    <t xml:space="preserve">Hostería Tomas e ilum de pasillos  </t>
  </si>
  <si>
    <t xml:space="preserve">Hostería Tomas e ilum  cocina </t>
  </si>
  <si>
    <t xml:space="preserve">Hostería Tomas e ilum de sec servicios   </t>
  </si>
  <si>
    <t xml:space="preserve">Hostería Tomas e ilum de sector GIM  </t>
  </si>
  <si>
    <t xml:space="preserve">Hostería sector externo ( iluminación) </t>
  </si>
  <si>
    <t xml:space="preserve">Iluminación de calles inter y acceso al barrio </t>
  </si>
  <si>
    <t xml:space="preserve">Tomas e iluminación de espacios comunes </t>
  </si>
  <si>
    <t xml:space="preserve">tomas e iluminación de oficinas </t>
  </si>
  <si>
    <t xml:space="preserve">Tomas e ilum de of de vigilancia </t>
  </si>
  <si>
    <t>Tomas e ilum sectores no operativos</t>
  </si>
  <si>
    <t xml:space="preserve">Ilum de calles inter y acc al barrio </t>
  </si>
  <si>
    <t xml:space="preserve"> Iluminación  internas, externa   </t>
  </si>
  <si>
    <t xml:space="preserve">* Iluminación  quincho </t>
  </si>
  <si>
    <t xml:space="preserve">* Iluminación  baños  </t>
  </si>
  <si>
    <t xml:space="preserve">* Iluminación  enfermeria  </t>
  </si>
  <si>
    <t xml:space="preserve">* Iluminación  expedicion   </t>
  </si>
  <si>
    <t xml:space="preserve">* Iluminación  oficinas forestal   </t>
  </si>
  <si>
    <t xml:space="preserve">* Iluminación  aduana   </t>
  </si>
  <si>
    <t xml:space="preserve">* Iluminación  balanzas  </t>
  </si>
  <si>
    <t xml:space="preserve">Hotel Tomas e ilum de habitaciones </t>
  </si>
  <si>
    <t xml:space="preserve">Hotel Tomas e ilum de sector COCINA   </t>
  </si>
  <si>
    <t xml:space="preserve">Hotel Tomas e ilum de pasillos  </t>
  </si>
  <si>
    <t xml:space="preserve">Hotel Tomas e ilum de sector comedor </t>
  </si>
  <si>
    <t xml:space="preserve">Hotel Tomas e ilum de sec DE SERVICIOS   </t>
  </si>
  <si>
    <t xml:space="preserve">Hotel Tomas e ilum de sector GIMNACIO </t>
  </si>
  <si>
    <t xml:space="preserve">Hotel Tomas e ilum  SALA DE REUNIONES </t>
  </si>
  <si>
    <t>Ilum de calles internas CLUB</t>
  </si>
  <si>
    <t xml:space="preserve">Sistema auto de bombas y rotular </t>
  </si>
  <si>
    <t xml:space="preserve">CCM del barrio y rotular </t>
  </si>
  <si>
    <t xml:space="preserve">CCM del barrio </t>
  </si>
  <si>
    <t xml:space="preserve">Tableros seccionales de Alimentación </t>
  </si>
  <si>
    <t xml:space="preserve">Tablero de sistema de bombeo </t>
  </si>
  <si>
    <t xml:space="preserve">Tableros secc VERIFICAR y rotular </t>
  </si>
  <si>
    <t xml:space="preserve">Tablero sistema bombeo y rotular </t>
  </si>
  <si>
    <t xml:space="preserve">Verificar tableros y rotular </t>
  </si>
  <si>
    <t xml:space="preserve">TABLEROS PRINCIPALES Y SECCIONALES </t>
  </si>
  <si>
    <t xml:space="preserve">VERIFICAR ELEMENTOS DE PROTECCION </t>
  </si>
  <si>
    <t xml:space="preserve">ESPE-ESP-KM1-MANZA1-CASA0009  </t>
  </si>
  <si>
    <t xml:space="preserve">ESPE-ESP-KM1-MANZA1-CASA0010 </t>
  </si>
  <si>
    <t xml:space="preserve">ESPE-ESP-KM1-MANZA1-CASA0011  </t>
  </si>
  <si>
    <t xml:space="preserve">ESPE-ESP-KM1-MANZA1-CASA0012  </t>
  </si>
  <si>
    <t xml:space="preserve">ESPE-ESP-KM1-MANZA1-CASA0013 </t>
  </si>
  <si>
    <t xml:space="preserve">ESPE-ESP-KM1-MANZA1-CASA0014  </t>
  </si>
  <si>
    <t xml:space="preserve">ESPE-ESP-KM1-MANZA1-CASA0015  </t>
  </si>
  <si>
    <t xml:space="preserve">ESPE-ESP-KM1-MANZA1-CASA0016  </t>
  </si>
  <si>
    <t>ESPE-ESP-KM1-MANZA1-CASA0017</t>
  </si>
  <si>
    <t xml:space="preserve">ESPE-ESP-KM1-MANZA1-CASA0018 </t>
  </si>
  <si>
    <t xml:space="preserve">ESPE-ESP-KM1-MANZA1-CASA0019 </t>
  </si>
  <si>
    <t xml:space="preserve">ESPE-ESP-KM1-MANZA1-CASA0025  </t>
  </si>
  <si>
    <t xml:space="preserve">ESPE-ESP-KM1-MANZA1-CASA0026 </t>
  </si>
  <si>
    <t xml:space="preserve">ESPE-ESP-KM1-MANZA1-CASA0027 </t>
  </si>
  <si>
    <t xml:space="preserve">ESPE-ESP-KM1-MANZA1-CASA0028 </t>
  </si>
  <si>
    <t xml:space="preserve">ESPE-ESP-KM1-MANZA1-CASA0029 </t>
  </si>
  <si>
    <t xml:space="preserve">ESPE-ESP-KM1-MANZA1-CASA0030  </t>
  </si>
  <si>
    <t xml:space="preserve">ESPE-ESP-KM1-MANZA1-CASA0031  </t>
  </si>
  <si>
    <t xml:space="preserve">ESPE-ESP-KM1-MANZA1-CASA0032 </t>
  </si>
  <si>
    <t xml:space="preserve">ESPE-ESP-KM1-MANZA1-CASA0033 </t>
  </si>
  <si>
    <t xml:space="preserve">ESPE-ESP-KM1-MANZA1-CASA0034 </t>
  </si>
  <si>
    <t xml:space="preserve">ESPE-ESP-KM1-MANZA1-CASA0035 </t>
  </si>
  <si>
    <t xml:space="preserve">ESPE-ESP-KM1-MANZA1-CASA0036 </t>
  </si>
  <si>
    <t xml:space="preserve">ESPE-ESP-KM1-MANZA1-CASA0037 </t>
  </si>
  <si>
    <t xml:space="preserve">ESPE-ESP-KM1-MANZA1-CASA0038  </t>
  </si>
  <si>
    <t xml:space="preserve">ESPE-ESP-KM1-MANZA1-CASA0039 </t>
  </si>
  <si>
    <t xml:space="preserve">ESPE-ESP-KM1-MANZA1-CASA0040  </t>
  </si>
  <si>
    <t xml:space="preserve">ESPE-ESP-KM1-MANZA1-CASA0041  </t>
  </si>
  <si>
    <t xml:space="preserve">ESPE-ESP-KM1-MANZA1-CASA0042 </t>
  </si>
  <si>
    <t>ESPE-ESP-KM1-MANZA1-CASA0043</t>
  </si>
  <si>
    <t xml:space="preserve">ESPE-ESP-KM1-MANZA1-CASA0045 </t>
  </si>
  <si>
    <t xml:space="preserve">ESPE-ESP-KM1-MANZA1-CASA0044 </t>
  </si>
  <si>
    <t xml:space="preserve">ESPE-ESP-KM1-MANZA1-CASA0046 </t>
  </si>
  <si>
    <t>BOSS-BOS-ADM-VIVERO</t>
  </si>
  <si>
    <t>ESPE-ESP-CEL-BALANZ</t>
  </si>
  <si>
    <t>PIRA-PIR-MDF-BALANZ</t>
  </si>
  <si>
    <t>PIRA-PIR-ELD-CASGTE-KM8GTECE</t>
  </si>
  <si>
    <t xml:space="preserve">abril 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</si>
  <si>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</si>
  <si>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</si>
  <si>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</si>
  <si>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</si>
  <si>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</si>
  <si>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</si>
  <si>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</si>
  <si>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</si>
  <si>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</si>
  <si>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</si>
  <si>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</si>
  <si>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x</t>
  </si>
  <si>
    <t>Equipo</t>
  </si>
  <si>
    <t>X</t>
  </si>
  <si>
    <t>SEMESTRALES</t>
  </si>
  <si>
    <t xml:space="preserve">MENSUALES </t>
  </si>
  <si>
    <t xml:space="preserve">Proveedor : SEAM Servicios Eléctricos S.R.L </t>
  </si>
  <si>
    <t xml:space="preserve">Fecha </t>
  </si>
  <si>
    <t>Día</t>
  </si>
  <si>
    <t xml:space="preserve">Mes </t>
  </si>
  <si>
    <t>Días Hábiles</t>
  </si>
  <si>
    <t>Proporcional por Recurso</t>
  </si>
  <si>
    <t xml:space="preserve">Plan correctivo </t>
  </si>
  <si>
    <t>objetivo</t>
  </si>
  <si>
    <t xml:space="preserve">ESPE-ESP-KM1-MANZA1-CASA0020 </t>
  </si>
  <si>
    <t>ESPE-ESP-KM1-MANZA1-CASA0021</t>
  </si>
  <si>
    <t xml:space="preserve">ESPE-ESP-KM1-MANZA1-CASA0022 </t>
  </si>
  <si>
    <t xml:space="preserve">ESPE-ESP-KM1-MANZA1-CASA0023 </t>
  </si>
  <si>
    <t xml:space="preserve">ESPE-ESP-KM1-MANZA1-CASA0024 </t>
  </si>
  <si>
    <t>ESPE-ESP-CEL-COMEDO</t>
  </si>
  <si>
    <t>GGE-11KVA-DSG</t>
  </si>
  <si>
    <t xml:space="preserve">YPOR-YPO </t>
  </si>
  <si>
    <t>ESPE-ESP-CEL-ADMIN2</t>
  </si>
  <si>
    <t>ESPE-ESP-CEL-VIGILA</t>
  </si>
  <si>
    <t>ESPE-ESP-CEL-FOREST</t>
  </si>
  <si>
    <t>PIRA-PIR-ASE-LOGIST-BACHOFER</t>
  </si>
  <si>
    <t>PIRA-PIR-ASE-EXPEDI</t>
  </si>
  <si>
    <t>PIRA-PIR-HOT-ALUMBR</t>
  </si>
  <si>
    <t>ESPE-ESP-CEL-LABORA</t>
  </si>
  <si>
    <t>PIRA-PIR-HOT-HOTEL1-COCINA01</t>
  </si>
  <si>
    <t>PIRA-PIR-HOT-HOTEL1-SALON001</t>
  </si>
  <si>
    <t>PIRA-PIR-HOT-HOTEL1-SALON002</t>
  </si>
  <si>
    <t>PIRA-PIR-CLU-PILETA-GIMNACIO</t>
  </si>
  <si>
    <t xml:space="preserve">Club </t>
  </si>
  <si>
    <t>YPOR-YPO-HOT-HOTEL1-LAVADERO</t>
  </si>
  <si>
    <t>PIRA-PIR-ASE-ESCUEL</t>
  </si>
  <si>
    <t>PIRA-PIR-ASE-PORTER-OFICFORE-TABLEROS</t>
  </si>
  <si>
    <t>PIRA-PIR-TABL-BAL</t>
  </si>
  <si>
    <t>PIRA-PIR-BPA-MANZA2-CASA0024</t>
  </si>
  <si>
    <t>BOSS-BOS-ADM-CHALET-TABLEROS</t>
  </si>
  <si>
    <t>YPOR-YPO-HOT-TABLEROS</t>
  </si>
  <si>
    <t>ESPE-ESP-ESB-MAN136-CASA0012</t>
  </si>
  <si>
    <t>ESPE-ESP-ESB-MAN136-DEPTO001</t>
  </si>
  <si>
    <t>ESPE-ESP-ESB-MAN136-DEPTO002</t>
  </si>
  <si>
    <t>ESPE-ESP-ESB-MAN136-DEPTO003</t>
  </si>
  <si>
    <t>ESPE-ESP-ESB-MAN136-CASA0014</t>
  </si>
  <si>
    <t>YPOR-YPO-GOF-</t>
  </si>
  <si>
    <t>Gerardo</t>
  </si>
  <si>
    <t>Tomas e ilumina exterior del Chalet</t>
  </si>
  <si>
    <t xml:space="preserve">Tomas e iluminacion Interior del chalet </t>
  </si>
  <si>
    <t xml:space="preserve">Anuales </t>
  </si>
  <si>
    <t>Correctivos</t>
  </si>
  <si>
    <t>Cumplido</t>
  </si>
  <si>
    <t>Semestrales</t>
  </si>
  <si>
    <t>Tesari H</t>
  </si>
  <si>
    <t>Trimestrales</t>
  </si>
  <si>
    <t>Anuales</t>
  </si>
  <si>
    <t>132 KVA</t>
  </si>
  <si>
    <t>GGE-132KVA-VIB</t>
  </si>
  <si>
    <t>ESPE-ESP-CEL-ADMIN2-OFSGTECO</t>
  </si>
  <si>
    <t xml:space="preserve">Adicional </t>
  </si>
  <si>
    <t>básico</t>
  </si>
  <si>
    <t>GGE-100KVA-VIB</t>
  </si>
  <si>
    <t>SERVIS 14</t>
  </si>
  <si>
    <t>CHECK 14</t>
  </si>
  <si>
    <t xml:space="preserve">Deposito de cafeteria e insumos </t>
  </si>
  <si>
    <t>CEL-AD2-17</t>
  </si>
  <si>
    <t>MDF-COM-3</t>
  </si>
  <si>
    <t>PIRA-PIR-MDF-COMEDO</t>
  </si>
  <si>
    <t>Check</t>
  </si>
  <si>
    <t>Service</t>
  </si>
  <si>
    <t>Fecha realizado</t>
  </si>
  <si>
    <t>PYP-LAB-6</t>
  </si>
  <si>
    <t xml:space="preserve">Oficina Sala Autoclave </t>
  </si>
  <si>
    <t>Fecha realizacion</t>
  </si>
  <si>
    <t>Potencia</t>
  </si>
  <si>
    <t>Bossetti</t>
  </si>
  <si>
    <t>Davalos Cesar</t>
  </si>
  <si>
    <t>Arevalo Oscar</t>
  </si>
  <si>
    <t>INTERVENCIONES</t>
  </si>
  <si>
    <t>Disponibilidad</t>
  </si>
  <si>
    <t>Iluminacion Farola externa</t>
  </si>
  <si>
    <t>Y-Pora</t>
  </si>
  <si>
    <t>Garita Rta 12</t>
  </si>
  <si>
    <t xml:space="preserve">HOSTERIA - HABITACIÓN 4 </t>
  </si>
  <si>
    <t>HOSTERIA - HABITACIÓN 5</t>
  </si>
  <si>
    <t>HOSTERIA - HABITACIÓN 6</t>
  </si>
  <si>
    <t>HOSTERIA - HABITACIÓN 7</t>
  </si>
  <si>
    <t>HOSTERIA - HABITACIÓN 8</t>
  </si>
  <si>
    <t>HOSTERIA - HABITACIÓN 9</t>
  </si>
  <si>
    <t>HOSTERIA - HABITACIÓN 10</t>
  </si>
  <si>
    <t>HOSTERIA - HABITACIÓN 11</t>
  </si>
  <si>
    <t>HOSTERIA - HABITACIÓN 12</t>
  </si>
  <si>
    <t>HOSTERIA - HABITACIÓN 13</t>
  </si>
  <si>
    <t>HOSTERIA - HABITACIÓN 14</t>
  </si>
  <si>
    <t>HOSTERIA - HABITACIÓN 15</t>
  </si>
  <si>
    <t>HOSTERIA - HABITACIÓN 16</t>
  </si>
  <si>
    <t xml:space="preserve">HOSTERIA - HABITACIÓN 17 </t>
  </si>
  <si>
    <t>HOSTERIA - HABITACIÓN 18</t>
  </si>
  <si>
    <t xml:space="preserve">HOSTERIA - SALA DEL GIMNASIO </t>
  </si>
  <si>
    <t xml:space="preserve">HOSTERIA - SALA DE REUNIONES </t>
  </si>
  <si>
    <t xml:space="preserve">HOSTERIA - HABITACIÓN 1 </t>
  </si>
  <si>
    <t xml:space="preserve">HOSTERIA - HABITACIÓN 2 </t>
  </si>
  <si>
    <t xml:space="preserve">HOSTERIA - HABITACIÓN 3 </t>
  </si>
  <si>
    <t>HOSTERIA - COCINA</t>
  </si>
  <si>
    <t xml:space="preserve">HOSTERIA - SALÓN COMEDOR </t>
  </si>
  <si>
    <t xml:space="preserve">PIRA-PIR-ASE-BALANZ-OFCOORDI </t>
  </si>
  <si>
    <t>PIRA-PIR-ASE-BALANZ-BABALANZ</t>
  </si>
  <si>
    <t xml:space="preserve">TRIMESTRALES   ( 11 equipos) </t>
  </si>
  <si>
    <t xml:space="preserve">SEMESTRALES   (62 equipos) </t>
  </si>
  <si>
    <t xml:space="preserve">ANUALES   ( 122 equipos) </t>
  </si>
  <si>
    <t>ANUALES   8 intervenciones</t>
  </si>
  <si>
    <t>PIRA-PIR-</t>
  </si>
  <si>
    <t>Planificado</t>
  </si>
  <si>
    <t>Tarea</t>
  </si>
  <si>
    <t>Actividad</t>
  </si>
  <si>
    <t>Fecha</t>
  </si>
  <si>
    <t>YPOR-YPO-HOT-HOTEL1-SALA REUN</t>
  </si>
  <si>
    <t xml:space="preserve">Hostería Tomas e ilum sec s reuniones </t>
  </si>
  <si>
    <t>YPOR-YPO-HOT-HOTEL1-COCINA</t>
  </si>
  <si>
    <t>YPOR-YPO-HOT-PLANTA-PASILLO</t>
  </si>
  <si>
    <t>YPOR-YPO-HOT-PLANTA-HABIT</t>
  </si>
  <si>
    <t xml:space="preserve">Hostería Tomas e ilum </t>
  </si>
  <si>
    <t>Ilum inter ext  sect com no operativos</t>
  </si>
  <si>
    <t>Tomas e ilum Oficinas . Ctrol Tec</t>
  </si>
  <si>
    <t>No planificado</t>
  </si>
  <si>
    <t>TRIMESTRALES  2 intervenciones</t>
  </si>
  <si>
    <t>EXPEDICION BOSSETTI</t>
  </si>
  <si>
    <t>* Iluminación y tomas de oficinas, estac tech</t>
  </si>
  <si>
    <t xml:space="preserve">Piray </t>
  </si>
  <si>
    <t>MENSUALES 46</t>
  </si>
  <si>
    <t>SEMESTRALES  5 intervenciones</t>
  </si>
  <si>
    <t xml:space="preserve">MENSUALES 36 equipos </t>
  </si>
  <si>
    <t>APOBA1-867</t>
  </si>
  <si>
    <t>CM 3100000914</t>
  </si>
  <si>
    <t>Porc. Cumplimiento</t>
  </si>
  <si>
    <t>Ckeck</t>
  </si>
  <si>
    <t>Clemente A.</t>
  </si>
  <si>
    <t>OC 3100000914</t>
  </si>
  <si>
    <t>PM02CLB40KVA</t>
  </si>
  <si>
    <t>40 KVA</t>
  </si>
  <si>
    <t>Chalet</t>
  </si>
  <si>
    <t>Basico</t>
  </si>
  <si>
    <t>Bosetti</t>
  </si>
  <si>
    <t>AQUINO CLEMENTE</t>
  </si>
  <si>
    <t>AREVALOS OSCAR</t>
  </si>
  <si>
    <t>DAVALOS CESAR</t>
  </si>
  <si>
    <t>PEREYRA BRUNO</t>
  </si>
  <si>
    <t>TESARI HECTOR</t>
  </si>
  <si>
    <t>Semestral</t>
  </si>
  <si>
    <t>Mes</t>
  </si>
  <si>
    <t>Total Unidades</t>
  </si>
  <si>
    <t>Legajo</t>
  </si>
  <si>
    <t>Empleado</t>
  </si>
  <si>
    <t>Entrada</t>
  </si>
  <si>
    <t>Salida</t>
  </si>
  <si>
    <t>TotalHs</t>
  </si>
  <si>
    <t>0000019137-SEAM SERVICIOS ELECTRONICOS S.R.L.</t>
  </si>
  <si>
    <t>Lunes</t>
  </si>
  <si>
    <t>Martes</t>
  </si>
  <si>
    <t>Miércoles</t>
  </si>
  <si>
    <t>Jueves</t>
  </si>
  <si>
    <t>Viernes</t>
  </si>
  <si>
    <t>Sábado</t>
  </si>
  <si>
    <t>Domingo</t>
  </si>
  <si>
    <t>1-17952130</t>
  </si>
  <si>
    <t>1-44279757</t>
  </si>
  <si>
    <t>1-22233614</t>
  </si>
  <si>
    <t>1-37591299</t>
  </si>
  <si>
    <t>1-34453345</t>
  </si>
  <si>
    <t>1-31472794</t>
  </si>
  <si>
    <t>CACERES OSCAR</t>
  </si>
  <si>
    <t>1-20297614</t>
  </si>
  <si>
    <t>DUARTE ANTONIO</t>
  </si>
  <si>
    <t>1-20806099</t>
  </si>
  <si>
    <t>WORONOWICZ GERARDO</t>
  </si>
  <si>
    <t>** Service</t>
  </si>
  <si>
    <t>** correspondia un service, pero a pedido de Diego Olocco no se cambia el aceite</t>
  </si>
  <si>
    <t>Nota;  a partir del 10/11/25 ingresan dos roles mas el sr Caceres Oscar (ayudante) y el sr Duarte Antonio (electricista)</t>
  </si>
  <si>
    <t>Planta</t>
  </si>
  <si>
    <t>Aserradero Bossetti</t>
  </si>
  <si>
    <t>17/12/25 se cambio tablero con transferencia nueva</t>
  </si>
  <si>
    <t>PC01AD115</t>
  </si>
  <si>
    <t>PC01AD116</t>
  </si>
  <si>
    <t>PC01AD117</t>
  </si>
  <si>
    <t>PC01AD118</t>
  </si>
  <si>
    <t>PC01AD129</t>
  </si>
  <si>
    <t>PC01BAL01</t>
  </si>
  <si>
    <t>PC01BAL02</t>
  </si>
  <si>
    <t>PC01COM01</t>
  </si>
  <si>
    <t>PC01COM02</t>
  </si>
  <si>
    <t>PC01COM03</t>
  </si>
  <si>
    <t>PC01COM04</t>
  </si>
  <si>
    <t>PC01COM05</t>
  </si>
  <si>
    <t>PC01COM06</t>
  </si>
  <si>
    <t>PC01SITE1</t>
  </si>
  <si>
    <t>PC01SITE2</t>
  </si>
  <si>
    <t>PC01VIG02</t>
  </si>
  <si>
    <t>PC01VIG03</t>
  </si>
  <si>
    <t>PC01VIG04</t>
  </si>
  <si>
    <t>PF01HOS22</t>
  </si>
  <si>
    <t>PF01HOS23</t>
  </si>
  <si>
    <t>PF01HOS24</t>
  </si>
  <si>
    <t>PF01LAB01</t>
  </si>
  <si>
    <t>PF01SME01</t>
  </si>
  <si>
    <t>PF01VBO01</t>
  </si>
  <si>
    <t>PF01VIV11</t>
  </si>
  <si>
    <t>PF01VIV14</t>
  </si>
  <si>
    <t>PM02BAL01</t>
  </si>
  <si>
    <t>PM02BAL02</t>
  </si>
  <si>
    <t>PM02SYC01</t>
  </si>
  <si>
    <t>PM02SYC02</t>
  </si>
  <si>
    <t>PC01FOR01</t>
  </si>
  <si>
    <t>PC01FOR02</t>
  </si>
  <si>
    <t>PC01FOR03</t>
  </si>
  <si>
    <t>PC01FOR04</t>
  </si>
  <si>
    <t>Etiquetas de fila</t>
  </si>
  <si>
    <t>Total general</t>
  </si>
  <si>
    <t>Suma de TotalHs</t>
  </si>
  <si>
    <t>(Todas)</t>
  </si>
  <si>
    <t>Caceres Oscar</t>
  </si>
  <si>
    <t>Vacaciones, cubre Duarte Antonio</t>
  </si>
  <si>
    <t>05:10</t>
  </si>
  <si>
    <t>00:51</t>
  </si>
  <si>
    <t>03:18</t>
  </si>
  <si>
    <t>00:39</t>
  </si>
  <si>
    <t>03:46</t>
  </si>
  <si>
    <t>02:13</t>
  </si>
  <si>
    <t>00:45</t>
  </si>
  <si>
    <t>00:00</t>
  </si>
  <si>
    <t>00:24</t>
  </si>
  <si>
    <t>00:02</t>
  </si>
  <si>
    <t>00:42</t>
  </si>
  <si>
    <t>01:25</t>
  </si>
  <si>
    <t>00:03</t>
  </si>
  <si>
    <t>08:00</t>
  </si>
  <si>
    <t>00:19</t>
  </si>
  <si>
    <t>00:01</t>
  </si>
  <si>
    <t>00:36</t>
  </si>
  <si>
    <t>01:50</t>
  </si>
  <si>
    <t>01:22</t>
  </si>
  <si>
    <t>01:14</t>
  </si>
  <si>
    <t>01:39</t>
  </si>
  <si>
    <t>00:06</t>
  </si>
  <si>
    <t>00:29</t>
  </si>
  <si>
    <t>01:10</t>
  </si>
  <si>
    <t>00:21</t>
  </si>
  <si>
    <t>01:33</t>
  </si>
  <si>
    <t>01:16</t>
  </si>
  <si>
    <t>05:51</t>
  </si>
  <si>
    <t>04:54</t>
  </si>
  <si>
    <t>00:09</t>
  </si>
  <si>
    <t>01:00</t>
  </si>
  <si>
    <t>00:07</t>
  </si>
  <si>
    <t>00:47</t>
  </si>
  <si>
    <t>01:09</t>
  </si>
  <si>
    <t>01:27</t>
  </si>
  <si>
    <t>02:02</t>
  </si>
  <si>
    <t>02:26</t>
  </si>
  <si>
    <t>01:19</t>
  </si>
  <si>
    <t>03:57</t>
  </si>
  <si>
    <t>01:23</t>
  </si>
  <si>
    <t>07:46</t>
  </si>
  <si>
    <t>07:48</t>
  </si>
  <si>
    <t>00:15</t>
  </si>
  <si>
    <t>1-26184317</t>
  </si>
  <si>
    <t>CENTURION LUCIANO</t>
  </si>
  <si>
    <t>00:41</t>
  </si>
  <si>
    <t>00:38</t>
  </si>
  <si>
    <t>02:27</t>
  </si>
  <si>
    <t>03:54</t>
  </si>
  <si>
    <t>07:45</t>
  </si>
  <si>
    <t>04:19</t>
  </si>
  <si>
    <t>04:15</t>
  </si>
  <si>
    <t>01:18</t>
  </si>
  <si>
    <t>04:42</t>
  </si>
  <si>
    <t>01:42</t>
  </si>
  <si>
    <t>01:34</t>
  </si>
  <si>
    <t>00:13</t>
  </si>
  <si>
    <t>00:12</t>
  </si>
  <si>
    <t>00:17</t>
  </si>
  <si>
    <t>05:56</t>
  </si>
  <si>
    <t>01:31</t>
  </si>
  <si>
    <t>00:27</t>
  </si>
  <si>
    <t>00:34</t>
  </si>
  <si>
    <t>00:08</t>
  </si>
  <si>
    <t>00:35</t>
  </si>
  <si>
    <t>00:11</t>
  </si>
  <si>
    <t>00:10</t>
  </si>
  <si>
    <t>05:14</t>
  </si>
  <si>
    <t>00:57</t>
  </si>
  <si>
    <t>07:47</t>
  </si>
  <si>
    <t>1-44951851</t>
  </si>
  <si>
    <t>AQUINO MARTIN ADRIAN</t>
  </si>
  <si>
    <t>07:49</t>
  </si>
  <si>
    <t>03:49</t>
  </si>
  <si>
    <t>04:56</t>
  </si>
  <si>
    <t>04:10</t>
  </si>
  <si>
    <t>03:26</t>
  </si>
  <si>
    <t>06:49</t>
  </si>
  <si>
    <t>05:45</t>
  </si>
  <si>
    <t>04:08</t>
  </si>
  <si>
    <t>07:56</t>
  </si>
  <si>
    <t>1-26552706</t>
  </si>
  <si>
    <t>BENITEZ HUGO ORLANDO</t>
  </si>
  <si>
    <t>05:01</t>
  </si>
  <si>
    <t>03:47</t>
  </si>
  <si>
    <t>05:04</t>
  </si>
  <si>
    <t>03:55</t>
  </si>
  <si>
    <t>05:03</t>
  </si>
  <si>
    <t>03:58</t>
  </si>
  <si>
    <t>04:59</t>
  </si>
  <si>
    <t>02:06</t>
  </si>
  <si>
    <t>05:30</t>
  </si>
  <si>
    <t>03:59</t>
  </si>
  <si>
    <t>03:34</t>
  </si>
  <si>
    <t>04:01</t>
  </si>
  <si>
    <t>04:51</t>
  </si>
  <si>
    <t>05:57</t>
  </si>
  <si>
    <t>01:48</t>
  </si>
  <si>
    <t>1-32558686</t>
  </si>
  <si>
    <t>ESCOBAR ARNALDO</t>
  </si>
  <si>
    <t>07:42</t>
  </si>
  <si>
    <t>01:54</t>
  </si>
  <si>
    <t>1-34423260</t>
  </si>
  <si>
    <t>GARAY GUSTAVO HERNAN</t>
  </si>
  <si>
    <t>03:51</t>
  </si>
  <si>
    <t>06:51</t>
  </si>
  <si>
    <t>01:40</t>
  </si>
  <si>
    <t>04:11</t>
  </si>
  <si>
    <t>04:44</t>
  </si>
  <si>
    <t>07:22</t>
  </si>
  <si>
    <t>07:58</t>
  </si>
  <si>
    <t>05:00</t>
  </si>
  <si>
    <t>1-23673726</t>
  </si>
  <si>
    <t>GOMEZ VICTOR</t>
  </si>
  <si>
    <t>06:22</t>
  </si>
  <si>
    <t>02:24</t>
  </si>
  <si>
    <t>06:09</t>
  </si>
  <si>
    <t>07:51</t>
  </si>
  <si>
    <t>01:37</t>
  </si>
  <si>
    <t>02:33</t>
  </si>
  <si>
    <t>03:05</t>
  </si>
  <si>
    <t>01:06</t>
  </si>
  <si>
    <t>07:40</t>
  </si>
  <si>
    <t>01:21</t>
  </si>
  <si>
    <t>07:25</t>
  </si>
  <si>
    <t>01:56</t>
  </si>
  <si>
    <t>01:52</t>
  </si>
  <si>
    <t>1-40196404</t>
  </si>
  <si>
    <t>GUERRERO MAXIMILIANO</t>
  </si>
  <si>
    <t>07:50</t>
  </si>
  <si>
    <t>07:59</t>
  </si>
  <si>
    <t>Aserradero/MDF</t>
  </si>
  <si>
    <t>04:43</t>
  </si>
  <si>
    <t>00:33</t>
  </si>
  <si>
    <t>00:44</t>
  </si>
  <si>
    <t>03:22</t>
  </si>
  <si>
    <t>02:00</t>
  </si>
  <si>
    <t>03:10</t>
  </si>
  <si>
    <t>00:56</t>
  </si>
  <si>
    <t>01:32</t>
  </si>
  <si>
    <t>00:55</t>
  </si>
  <si>
    <t>00:59</t>
  </si>
  <si>
    <t>02:36</t>
  </si>
  <si>
    <t>05:46</t>
  </si>
  <si>
    <t>06:56</t>
  </si>
  <si>
    <t>03:19</t>
  </si>
  <si>
    <t>02:19</t>
  </si>
  <si>
    <t>05:41</t>
  </si>
  <si>
    <t>00:52</t>
  </si>
  <si>
    <t>06:58</t>
  </si>
  <si>
    <t>Ypora</t>
  </si>
  <si>
    <t>Electrico</t>
  </si>
  <si>
    <t>Hidrogrua</t>
  </si>
  <si>
    <t>Grupo Gen</t>
  </si>
  <si>
    <t>Aire</t>
  </si>
  <si>
    <t>SÍ</t>
  </si>
  <si>
    <t>11359020</t>
  </si>
  <si>
    <t>Febrero</t>
  </si>
  <si>
    <t>Vacaciones, cubre Tesari Héctor</t>
  </si>
  <si>
    <t>Servicio Básico : Febrero 2026</t>
  </si>
  <si>
    <t>00:20</t>
  </si>
  <si>
    <t>03:14</t>
  </si>
  <si>
    <t>07:43</t>
  </si>
  <si>
    <t>00:54</t>
  </si>
  <si>
    <t>00:16</t>
  </si>
  <si>
    <t>01:44</t>
  </si>
  <si>
    <t>01:35</t>
  </si>
  <si>
    <t>05:58</t>
  </si>
  <si>
    <t>02:40</t>
  </si>
  <si>
    <t>01:04</t>
  </si>
  <si>
    <t>00:28</t>
  </si>
  <si>
    <t>07:52</t>
  </si>
  <si>
    <t>04:07</t>
  </si>
  <si>
    <t>04:52</t>
  </si>
  <si>
    <t>02:31</t>
  </si>
  <si>
    <t>03:06</t>
  </si>
  <si>
    <t>02:37</t>
  </si>
  <si>
    <t>04:09</t>
  </si>
  <si>
    <t>04:14</t>
  </si>
  <si>
    <t>Vivero Bossetti</t>
  </si>
  <si>
    <t>05:28</t>
  </si>
  <si>
    <t>01:57</t>
  </si>
  <si>
    <t>01:08</t>
  </si>
  <si>
    <t>07:29</t>
  </si>
  <si>
    <t>03:13</t>
  </si>
  <si>
    <t>01:30</t>
  </si>
  <si>
    <t>06:42</t>
  </si>
  <si>
    <t>02:03</t>
  </si>
  <si>
    <t>02:15</t>
  </si>
  <si>
    <t>00:23</t>
  </si>
  <si>
    <t>02:41</t>
  </si>
  <si>
    <t>02:39</t>
  </si>
  <si>
    <t>02:22</t>
  </si>
  <si>
    <t>01:13</t>
  </si>
  <si>
    <t>02:54</t>
  </si>
  <si>
    <t>05:39</t>
  </si>
  <si>
    <t>01:20</t>
  </si>
  <si>
    <t>03:17</t>
  </si>
  <si>
    <t>04:04</t>
  </si>
  <si>
    <t>00:53</t>
  </si>
  <si>
    <t>04:29</t>
  </si>
  <si>
    <t>03:08</t>
  </si>
  <si>
    <t>06:52</t>
  </si>
  <si>
    <t>01:29</t>
  </si>
  <si>
    <t>07:24</t>
  </si>
  <si>
    <t>01:02</t>
  </si>
  <si>
    <t>04:53</t>
  </si>
  <si>
    <t>05:05</t>
  </si>
  <si>
    <t>06:35</t>
  </si>
  <si>
    <t>02:45</t>
  </si>
  <si>
    <t>06:28</t>
  </si>
  <si>
    <t>02:04</t>
  </si>
  <si>
    <t>01:07</t>
  </si>
  <si>
    <t>00:37</t>
  </si>
  <si>
    <t>07:07</t>
  </si>
  <si>
    <t>00:25</t>
  </si>
  <si>
    <t>01:49</t>
  </si>
  <si>
    <t>03:43</t>
  </si>
  <si>
    <t>01:51</t>
  </si>
  <si>
    <t>01:24</t>
  </si>
  <si>
    <t>06:32</t>
  </si>
  <si>
    <t>07:53</t>
  </si>
  <si>
    <t>07:31</t>
  </si>
  <si>
    <t>01:26</t>
  </si>
  <si>
    <t>05:09</t>
  </si>
  <si>
    <t>05:11</t>
  </si>
  <si>
    <t>00:22</t>
  </si>
  <si>
    <t>8000045901 - SERVICIO DE MANTENIMIENTO INTERGRADO  Marzo -26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</si>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</sst>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mmmm/yyyy"/>
    <numFmt numFmtId="166" formatCode="_ &quot;$&quot;\ * #,##0_ ;_ &quot;$&quot;\ * \-#,##0_ ;_ &quot;$&quot;\ * &quot;-&quot;??_ ;_ @_ "/>
    <numFmt numFmtId="167" formatCode="[$$-2C0A]\ #,##0.00"/>
    <numFmt numFmtId="168" formatCode="0.000"/>
    <numFmt numFmtId="169" formatCode="dddd\ dd\ mmm\ yyyy"/>
    <numFmt numFmtId="170" formatCode="dd/mm/yyyy"/>
    <numFmt numFmtId="171" formatCode="dd\/mm\/yyyy&quot;  &quot;hh\:mm\:ss\ "/>
  </numFmts>
  <fonts count="60" x14ac:knownFonts="1">
    <font>
      <sz val="11"/>
      <color theme="1"/>
      <name val="Calibri"/>
      <family val="2"/>
      <scheme val="minor"/>
    </font>
    <font>
      <sz val="9"/>
      <color theme="1"/>
      <name val="Calibri Light"/>
      <family val="2"/>
    </font>
    <font>
      <sz val="9"/>
      <name val="Calibri Light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0"/>
      <color theme="1"/>
      <name val="Calibri Light"/>
      <family val="2"/>
    </font>
    <font>
      <b/>
      <sz val="10"/>
      <color theme="1"/>
      <name val="Calibri Light"/>
      <family val="2"/>
    </font>
    <font>
      <sz val="9"/>
      <color rgb="FFFF0000"/>
      <name val="Calibri Light"/>
      <family val="2"/>
    </font>
    <font>
      <b/>
      <sz val="9"/>
      <color rgb="FFFF0000"/>
      <name val="Calibri Light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rgb="FF242424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0"/>
      <name val="Arial"/>
      <family val="2"/>
    </font>
    <font>
      <sz val="11"/>
      <name val="Calibri"/>
      <family val="2"/>
      <scheme val="minor"/>
    </font>
    <font>
      <sz val="9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name val="Calibri Light"/>
      <family val="2"/>
    </font>
    <font>
      <sz val="12"/>
      <color theme="1"/>
      <name val="Calibri Light"/>
      <family val="2"/>
    </font>
    <font>
      <sz val="8"/>
      <color theme="1"/>
      <name val="Calibri"/>
      <family val="2"/>
      <scheme val="minor"/>
    </font>
    <font>
      <sz val="10"/>
      <name val="Calibri"/>
      <family val="2"/>
    </font>
    <font>
      <b/>
      <i/>
      <sz val="16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name val="Arial"/>
      <family val="2"/>
    </font>
    <font>
      <b/>
      <i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b/>
      <i/>
      <sz val="10"/>
      <color theme="1"/>
      <name val="Calibri Light"/>
      <family val="2"/>
    </font>
    <font>
      <b/>
      <i/>
      <sz val="10"/>
      <name val="Calibri Light"/>
      <family val="2"/>
    </font>
    <font>
      <b/>
      <i/>
      <sz val="10"/>
      <color theme="1"/>
      <name val="Calibri"/>
      <family val="2"/>
      <scheme val="minor"/>
    </font>
    <font>
      <sz val="9"/>
      <color theme="3" tint="0.39997558519241921"/>
      <name val="Calibri"/>
      <family val="2"/>
      <scheme val="minor"/>
    </font>
    <font>
      <sz val="9"/>
      <color theme="6"/>
      <name val="Calibri"/>
      <family val="2"/>
      <scheme val="minor"/>
    </font>
    <font>
      <sz val="9"/>
      <color rgb="FFFFC000"/>
      <name val="Calibri"/>
      <family val="2"/>
      <scheme val="minor"/>
    </font>
    <font>
      <sz val="9"/>
      <color rgb="FFC00000"/>
      <name val="Calibri"/>
      <family val="2"/>
      <scheme val="minor"/>
    </font>
    <font>
      <sz val="9"/>
      <name val="ARIAL"/>
      <charset val="1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rgb="FFD6E3BC"/>
      </patternFill>
    </fill>
    <fill>
      <patternFill patternType="solid">
        <fgColor theme="0"/>
        <bgColor rgb="FFB6DDE8"/>
      </patternFill>
    </fill>
    <fill>
      <patternFill patternType="solid">
        <fgColor theme="0"/>
        <bgColor rgb="FFFFFFFF"/>
      </patternFill>
    </fill>
    <fill>
      <patternFill patternType="solid">
        <fgColor theme="6" tint="0.39997558519241921"/>
        <bgColor rgb="FFBFBFBF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Up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0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hair">
        <color theme="1"/>
      </right>
      <top style="medium">
        <color indexed="64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medium">
        <color indexed="64"/>
      </top>
      <bottom style="hair">
        <color theme="1"/>
      </bottom>
      <diagonal/>
    </border>
    <border>
      <left style="medium">
        <color indexed="64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hair">
        <color theme="1"/>
      </bottom>
      <diagonal/>
    </border>
    <border>
      <left style="medium">
        <color indexed="64"/>
      </left>
      <right style="hair">
        <color theme="1"/>
      </right>
      <top style="hair">
        <color theme="1"/>
      </top>
      <bottom style="medium">
        <color indexed="64"/>
      </bottom>
      <diagonal/>
    </border>
    <border>
      <left style="hair">
        <color theme="1"/>
      </left>
      <right style="medium">
        <color indexed="64"/>
      </right>
      <top style="hair">
        <color theme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</borders>
  <cellStyleXfs count="11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5" fillId="0" borderId="0"/>
    <xf numFmtId="167" fontId="15" fillId="0" borderId="0"/>
    <xf numFmtId="44" fontId="4" fillId="0" borderId="0" applyFont="0" applyFill="0" applyBorder="0" applyAlignment="0" applyProtection="0"/>
    <xf numFmtId="167" fontId="15" fillId="0" borderId="0"/>
    <xf numFmtId="167" fontId="4" fillId="0" borderId="0"/>
    <xf numFmtId="164" fontId="15" fillId="0" borderId="0" applyFont="0" applyFill="0" applyBorder="0" applyAlignment="0" applyProtection="0"/>
    <xf numFmtId="164" fontId="4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669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horizontal="center" vertical="center" wrapText="1"/>
    </xf>
    <xf numFmtId="16" fontId="2" fillId="8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9" xfId="0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2" fillId="8" borderId="0" xfId="0" applyFont="1" applyFill="1" applyAlignment="1">
      <alignment horizontal="center" vertical="center"/>
    </xf>
    <xf numFmtId="165" fontId="2" fillId="8" borderId="0" xfId="0" applyNumberFormat="1" applyFont="1" applyFill="1" applyAlignment="1">
      <alignment horizontal="center" vertical="center"/>
    </xf>
    <xf numFmtId="16" fontId="2" fillId="2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10" fillId="5" borderId="0" xfId="0" applyFont="1" applyFill="1" applyAlignment="1">
      <alignment horizontal="left"/>
    </xf>
    <xf numFmtId="0" fontId="10" fillId="0" borderId="0" xfId="0" applyFont="1" applyAlignment="1">
      <alignment horizontal="center"/>
    </xf>
    <xf numFmtId="0" fontId="2" fillId="11" borderId="0" xfId="0" applyFont="1" applyFill="1" applyAlignment="1">
      <alignment horizontal="center"/>
    </xf>
    <xf numFmtId="1" fontId="2" fillId="11" borderId="0" xfId="0" applyNumberFormat="1" applyFont="1" applyFill="1" applyAlignment="1">
      <alignment horizontal="center"/>
    </xf>
    <xf numFmtId="166" fontId="3" fillId="0" borderId="0" xfId="0" applyNumberFormat="1" applyFont="1"/>
    <xf numFmtId="0" fontId="9" fillId="11" borderId="0" xfId="0" applyFont="1" applyFill="1" applyAlignment="1">
      <alignment horizontal="center"/>
    </xf>
    <xf numFmtId="0" fontId="9" fillId="5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9" fillId="3" borderId="0" xfId="0" applyFont="1" applyFill="1" applyAlignment="1">
      <alignment horizontal="center" vertical="center"/>
    </xf>
    <xf numFmtId="49" fontId="9" fillId="0" borderId="0" xfId="0" applyNumberFormat="1" applyFont="1" applyAlignment="1">
      <alignment vertical="center"/>
    </xf>
    <xf numFmtId="1" fontId="9" fillId="11" borderId="0" xfId="0" applyNumberFormat="1" applyFont="1" applyFill="1" applyAlignment="1">
      <alignment horizontal="center"/>
    </xf>
    <xf numFmtId="0" fontId="9" fillId="9" borderId="0" xfId="0" applyFont="1" applyFill="1" applyAlignment="1">
      <alignment horizontal="center"/>
    </xf>
    <xf numFmtId="9" fontId="3" fillId="0" borderId="0" xfId="2" applyFont="1" applyBorder="1"/>
    <xf numFmtId="0" fontId="12" fillId="2" borderId="0" xfId="0" applyFont="1" applyFill="1" applyAlignment="1">
      <alignment horizontal="left"/>
    </xf>
    <xf numFmtId="0" fontId="13" fillId="0" borderId="23" xfId="0" applyFont="1" applyBorder="1"/>
    <xf numFmtId="0" fontId="13" fillId="0" borderId="0" xfId="0" applyFont="1"/>
    <xf numFmtId="166" fontId="13" fillId="0" borderId="0" xfId="0" applyNumberFormat="1" applyFont="1"/>
    <xf numFmtId="9" fontId="13" fillId="0" borderId="0" xfId="2" applyFont="1" applyFill="1" applyBorder="1" applyAlignment="1"/>
    <xf numFmtId="0" fontId="5" fillId="0" borderId="9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left"/>
    </xf>
    <xf numFmtId="1" fontId="5" fillId="0" borderId="10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14" fillId="0" borderId="13" xfId="0" applyFont="1" applyBorder="1" applyAlignment="1">
      <alignment horizontal="left"/>
    </xf>
    <xf numFmtId="0" fontId="3" fillId="0" borderId="2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4" fontId="3" fillId="0" borderId="0" xfId="0" applyNumberFormat="1" applyFont="1"/>
    <xf numFmtId="0" fontId="3" fillId="0" borderId="18" xfId="0" applyFont="1" applyBorder="1"/>
    <xf numFmtId="0" fontId="3" fillId="0" borderId="20" xfId="0" applyFont="1" applyBorder="1"/>
    <xf numFmtId="0" fontId="3" fillId="0" borderId="19" xfId="0" applyFont="1" applyBorder="1"/>
    <xf numFmtId="0" fontId="3" fillId="0" borderId="31" xfId="0" applyFont="1" applyBorder="1"/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6" fillId="10" borderId="0" xfId="0" applyFont="1" applyFill="1" applyAlignment="1">
      <alignment horizontal="left"/>
    </xf>
    <xf numFmtId="1" fontId="0" fillId="0" borderId="0" xfId="0" applyNumberFormat="1"/>
    <xf numFmtId="0" fontId="16" fillId="10" borderId="0" xfId="0" applyFont="1" applyFill="1"/>
    <xf numFmtId="0" fontId="3" fillId="9" borderId="13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16" fontId="2" fillId="8" borderId="10" xfId="0" applyNumberFormat="1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10" xfId="0" applyFont="1" applyBorder="1" applyAlignment="1">
      <alignment horizontal="left"/>
    </xf>
    <xf numFmtId="0" fontId="2" fillId="4" borderId="10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/>
    </xf>
    <xf numFmtId="0" fontId="2" fillId="12" borderId="10" xfId="0" applyFont="1" applyFill="1" applyBorder="1" applyAlignment="1">
      <alignment horizontal="left"/>
    </xf>
    <xf numFmtId="0" fontId="2" fillId="0" borderId="10" xfId="0" applyFont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17" fillId="0" borderId="0" xfId="0" applyFont="1"/>
    <xf numFmtId="0" fontId="13" fillId="2" borderId="0" xfId="0" applyFont="1" applyFill="1" applyAlignment="1">
      <alignment horizontal="left"/>
    </xf>
    <xf numFmtId="17" fontId="3" fillId="10" borderId="15" xfId="0" applyNumberFormat="1" applyFont="1" applyFill="1" applyBorder="1" applyAlignment="1">
      <alignment horizontal="center"/>
    </xf>
    <xf numFmtId="17" fontId="3" fillId="10" borderId="17" xfId="0" applyNumberFormat="1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1" fontId="5" fillId="0" borderId="0" xfId="0" applyNumberFormat="1" applyFont="1" applyAlignment="1">
      <alignment horizontal="center"/>
    </xf>
    <xf numFmtId="0" fontId="5" fillId="0" borderId="0" xfId="0" applyFont="1"/>
    <xf numFmtId="1" fontId="5" fillId="0" borderId="39" xfId="0" applyNumberFormat="1" applyFont="1" applyBorder="1" applyAlignment="1">
      <alignment horizontal="center"/>
    </xf>
    <xf numFmtId="0" fontId="2" fillId="13" borderId="0" xfId="0" applyFont="1" applyFill="1" applyAlignment="1">
      <alignment horizontal="center"/>
    </xf>
    <xf numFmtId="16" fontId="2" fillId="15" borderId="0" xfId="0" applyNumberFormat="1" applyFont="1" applyFill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13" borderId="13" xfId="0" applyFont="1" applyFill="1" applyBorder="1" applyAlignment="1">
      <alignment horizontal="center"/>
    </xf>
    <xf numFmtId="17" fontId="3" fillId="13" borderId="15" xfId="0" applyNumberFormat="1" applyFont="1" applyFill="1" applyBorder="1" applyAlignment="1">
      <alignment horizontal="center"/>
    </xf>
    <xf numFmtId="0" fontId="3" fillId="13" borderId="16" xfId="0" applyFont="1" applyFill="1" applyBorder="1" applyAlignment="1">
      <alignment horizontal="center"/>
    </xf>
    <xf numFmtId="17" fontId="3" fillId="13" borderId="17" xfId="0" applyNumberFormat="1" applyFont="1" applyFill="1" applyBorder="1" applyAlignment="1">
      <alignment horizontal="center"/>
    </xf>
    <xf numFmtId="0" fontId="3" fillId="13" borderId="18" xfId="0" applyFont="1" applyFill="1" applyBorder="1" applyAlignment="1">
      <alignment horizontal="center"/>
    </xf>
    <xf numFmtId="0" fontId="5" fillId="13" borderId="14" xfId="0" applyFont="1" applyFill="1" applyBorder="1" applyAlignment="1">
      <alignment horizontal="center"/>
    </xf>
    <xf numFmtId="0" fontId="5" fillId="13" borderId="15" xfId="0" applyFont="1" applyFill="1" applyBorder="1" applyAlignment="1">
      <alignment horizontal="center"/>
    </xf>
    <xf numFmtId="0" fontId="5" fillId="13" borderId="29" xfId="0" applyFont="1" applyFill="1" applyBorder="1" applyAlignment="1">
      <alignment horizontal="center"/>
    </xf>
    <xf numFmtId="0" fontId="5" fillId="13" borderId="16" xfId="0" applyFont="1" applyFill="1" applyBorder="1" applyAlignment="1">
      <alignment horizontal="center"/>
    </xf>
    <xf numFmtId="1" fontId="5" fillId="13" borderId="10" xfId="0" applyNumberFormat="1" applyFont="1" applyFill="1" applyBorder="1" applyAlignment="1">
      <alignment horizontal="center"/>
    </xf>
    <xf numFmtId="1" fontId="5" fillId="13" borderId="39" xfId="0" applyNumberFormat="1" applyFont="1" applyFill="1" applyBorder="1" applyAlignment="1">
      <alignment horizontal="center"/>
    </xf>
    <xf numFmtId="1" fontId="5" fillId="13" borderId="40" xfId="0" applyNumberFormat="1" applyFont="1" applyFill="1" applyBorder="1" applyAlignment="1">
      <alignment horizontal="center"/>
    </xf>
    <xf numFmtId="0" fontId="14" fillId="13" borderId="13" xfId="0" applyFont="1" applyFill="1" applyBorder="1" applyAlignment="1">
      <alignment horizontal="left"/>
    </xf>
    <xf numFmtId="0" fontId="3" fillId="0" borderId="18" xfId="0" applyFont="1" applyBorder="1" applyAlignment="1">
      <alignment horizontal="center"/>
    </xf>
    <xf numFmtId="1" fontId="13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0" fillId="0" borderId="36" xfId="0" applyBorder="1"/>
    <xf numFmtId="1" fontId="0" fillId="0" borderId="36" xfId="0" applyNumberFormat="1" applyBorder="1"/>
    <xf numFmtId="0" fontId="0" fillId="0" borderId="23" xfId="0" applyBorder="1"/>
    <xf numFmtId="0" fontId="13" fillId="0" borderId="36" xfId="0" applyFont="1" applyBorder="1"/>
    <xf numFmtId="1" fontId="13" fillId="0" borderId="36" xfId="0" applyNumberFormat="1" applyFont="1" applyBorder="1" applyAlignment="1">
      <alignment horizontal="center"/>
    </xf>
    <xf numFmtId="9" fontId="13" fillId="0" borderId="36" xfId="0" applyNumberFormat="1" applyFont="1" applyBorder="1" applyAlignment="1">
      <alignment horizontal="center"/>
    </xf>
    <xf numFmtId="166" fontId="13" fillId="0" borderId="36" xfId="0" applyNumberFormat="1" applyFont="1" applyBorder="1"/>
    <xf numFmtId="0" fontId="19" fillId="0" borderId="0" xfId="0" applyFont="1" applyAlignment="1">
      <alignment horizontal="right"/>
    </xf>
    <xf numFmtId="0" fontId="0" fillId="16" borderId="0" xfId="0" applyFill="1" applyAlignment="1">
      <alignment horizontal="center" vertical="center"/>
    </xf>
    <xf numFmtId="0" fontId="0" fillId="16" borderId="0" xfId="0" applyFill="1"/>
    <xf numFmtId="0" fontId="19" fillId="16" borderId="0" xfId="0" applyFont="1" applyFill="1" applyAlignment="1">
      <alignment horizontal="right"/>
    </xf>
    <xf numFmtId="0" fontId="0" fillId="16" borderId="0" xfId="0" applyFill="1" applyAlignment="1">
      <alignment horizontal="center"/>
    </xf>
    <xf numFmtId="0" fontId="3" fillId="0" borderId="30" xfId="0" applyFont="1" applyBorder="1"/>
    <xf numFmtId="0" fontId="3" fillId="0" borderId="29" xfId="0" applyFont="1" applyBorder="1"/>
    <xf numFmtId="0" fontId="13" fillId="17" borderId="9" xfId="0" applyFont="1" applyFill="1" applyBorder="1"/>
    <xf numFmtId="0" fontId="13" fillId="17" borderId="5" xfId="0" applyFont="1" applyFill="1" applyBorder="1"/>
    <xf numFmtId="0" fontId="13" fillId="17" borderId="12" xfId="0" applyFont="1" applyFill="1" applyBorder="1"/>
    <xf numFmtId="0" fontId="13" fillId="13" borderId="8" xfId="0" applyFont="1" applyFill="1" applyBorder="1"/>
    <xf numFmtId="0" fontId="13" fillId="13" borderId="6" xfId="0" applyFont="1" applyFill="1" applyBorder="1"/>
    <xf numFmtId="9" fontId="13" fillId="13" borderId="7" xfId="2" applyFont="1" applyFill="1" applyBorder="1" applyAlignment="1"/>
    <xf numFmtId="0" fontId="13" fillId="17" borderId="8" xfId="0" applyFont="1" applyFill="1" applyBorder="1"/>
    <xf numFmtId="0" fontId="13" fillId="17" borderId="6" xfId="0" applyFont="1" applyFill="1" applyBorder="1"/>
    <xf numFmtId="9" fontId="13" fillId="17" borderId="7" xfId="2" applyFont="1" applyFill="1" applyBorder="1" applyAlignment="1"/>
    <xf numFmtId="0" fontId="12" fillId="0" borderId="0" xfId="0" applyFont="1"/>
    <xf numFmtId="0" fontId="3" fillId="0" borderId="45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9" fontId="22" fillId="9" borderId="44" xfId="2" applyFont="1" applyFill="1" applyBorder="1" applyAlignment="1"/>
    <xf numFmtId="9" fontId="22" fillId="9" borderId="7" xfId="2" applyFont="1" applyFill="1" applyBorder="1" applyAlignment="1"/>
    <xf numFmtId="0" fontId="14" fillId="9" borderId="14" xfId="0" applyFont="1" applyFill="1" applyBorder="1" applyAlignment="1">
      <alignment horizontal="center"/>
    </xf>
    <xf numFmtId="0" fontId="14" fillId="9" borderId="15" xfId="0" applyFont="1" applyFill="1" applyBorder="1" applyAlignment="1">
      <alignment horizontal="center"/>
    </xf>
    <xf numFmtId="0" fontId="14" fillId="9" borderId="29" xfId="0" applyFont="1" applyFill="1" applyBorder="1" applyAlignment="1">
      <alignment horizontal="center"/>
    </xf>
    <xf numFmtId="0" fontId="14" fillId="9" borderId="16" xfId="0" applyFont="1" applyFill="1" applyBorder="1" applyAlignment="1">
      <alignment horizontal="center"/>
    </xf>
    <xf numFmtId="1" fontId="14" fillId="9" borderId="10" xfId="0" applyNumberFormat="1" applyFont="1" applyFill="1" applyBorder="1" applyAlignment="1">
      <alignment horizontal="center"/>
    </xf>
    <xf numFmtId="1" fontId="14" fillId="9" borderId="17" xfId="0" applyNumberFormat="1" applyFont="1" applyFill="1" applyBorder="1" applyAlignment="1">
      <alignment horizontal="center"/>
    </xf>
    <xf numFmtId="1" fontId="14" fillId="9" borderId="39" xfId="0" applyNumberFormat="1" applyFont="1" applyFill="1" applyBorder="1" applyAlignment="1">
      <alignment horizontal="center"/>
    </xf>
    <xf numFmtId="1" fontId="14" fillId="9" borderId="40" xfId="0" applyNumberFormat="1" applyFont="1" applyFill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1" fontId="5" fillId="0" borderId="22" xfId="0" applyNumberFormat="1" applyFont="1" applyBorder="1" applyAlignment="1">
      <alignment horizontal="center"/>
    </xf>
    <xf numFmtId="0" fontId="3" fillId="0" borderId="8" xfId="0" applyFont="1" applyBorder="1"/>
    <xf numFmtId="0" fontId="3" fillId="0" borderId="6" xfId="0" applyFont="1" applyBorder="1"/>
    <xf numFmtId="0" fontId="3" fillId="0" borderId="7" xfId="0" applyFont="1" applyBorder="1"/>
    <xf numFmtId="44" fontId="0" fillId="0" borderId="0" xfId="2" applyNumberFormat="1" applyFont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7" borderId="10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0" fillId="0" borderId="43" xfId="0" applyBorder="1"/>
    <xf numFmtId="0" fontId="0" fillId="0" borderId="44" xfId="0" applyBorder="1"/>
    <xf numFmtId="0" fontId="2" fillId="0" borderId="19" xfId="0" applyFont="1" applyBorder="1" applyAlignment="1">
      <alignment horizontal="left"/>
    </xf>
    <xf numFmtId="0" fontId="2" fillId="4" borderId="19" xfId="0" applyFon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0" fontId="0" fillId="0" borderId="22" xfId="0" applyBorder="1" applyAlignment="1">
      <alignment horizontal="center"/>
    </xf>
    <xf numFmtId="0" fontId="0" fillId="13" borderId="22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13" borderId="10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13" borderId="17" xfId="0" applyFill="1" applyBorder="1" applyAlignment="1">
      <alignment horizontal="center"/>
    </xf>
    <xf numFmtId="0" fontId="2" fillId="3" borderId="19" xfId="0" applyFont="1" applyFill="1" applyBorder="1" applyAlignment="1">
      <alignment horizontal="center" vertical="center"/>
    </xf>
    <xf numFmtId="0" fontId="0" fillId="13" borderId="19" xfId="0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0" xfId="0" applyBorder="1"/>
    <xf numFmtId="0" fontId="10" fillId="4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0" fillId="13" borderId="10" xfId="0" applyFill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4" fontId="5" fillId="0" borderId="36" xfId="0" applyNumberFormat="1" applyFont="1" applyBorder="1" applyAlignment="1">
      <alignment horizontal="center"/>
    </xf>
    <xf numFmtId="0" fontId="27" fillId="0" borderId="0" xfId="0" applyFont="1"/>
    <xf numFmtId="0" fontId="3" fillId="0" borderId="52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9" fontId="5" fillId="0" borderId="1" xfId="0" applyNumberFormat="1" applyFont="1" applyBorder="1"/>
    <xf numFmtId="9" fontId="3" fillId="12" borderId="10" xfId="2" applyFont="1" applyFill="1" applyBorder="1" applyAlignment="1">
      <alignment horizontal="center"/>
    </xf>
    <xf numFmtId="0" fontId="5" fillId="12" borderId="47" xfId="0" applyFont="1" applyFill="1" applyBorder="1" applyAlignment="1">
      <alignment horizontal="center"/>
    </xf>
    <xf numFmtId="0" fontId="3" fillId="12" borderId="10" xfId="0" applyFont="1" applyFill="1" applyBorder="1" applyAlignment="1">
      <alignment horizontal="center"/>
    </xf>
    <xf numFmtId="0" fontId="5" fillId="12" borderId="16" xfId="0" applyFont="1" applyFill="1" applyBorder="1" applyAlignment="1">
      <alignment horizontal="center"/>
    </xf>
    <xf numFmtId="49" fontId="16" fillId="0" borderId="0" xfId="0" applyNumberFormat="1" applyFont="1"/>
    <xf numFmtId="0" fontId="5" fillId="12" borderId="46" xfId="0" applyFont="1" applyFill="1" applyBorder="1" applyAlignment="1">
      <alignment horizontal="center"/>
    </xf>
    <xf numFmtId="1" fontId="3" fillId="12" borderId="10" xfId="0" applyNumberFormat="1" applyFont="1" applyFill="1" applyBorder="1" applyAlignment="1">
      <alignment horizontal="center"/>
    </xf>
    <xf numFmtId="1" fontId="5" fillId="12" borderId="16" xfId="0" applyNumberFormat="1" applyFont="1" applyFill="1" applyBorder="1" applyAlignment="1">
      <alignment horizontal="center"/>
    </xf>
    <xf numFmtId="10" fontId="13" fillId="13" borderId="44" xfId="2" applyNumberFormat="1" applyFont="1" applyFill="1" applyBorder="1" applyAlignment="1"/>
    <xf numFmtId="10" fontId="13" fillId="17" borderId="44" xfId="2" applyNumberFormat="1" applyFont="1" applyFill="1" applyBorder="1" applyAlignment="1"/>
    <xf numFmtId="17" fontId="3" fillId="13" borderId="0" xfId="0" applyNumberFormat="1" applyFont="1" applyFill="1" applyAlignment="1">
      <alignment horizontal="center" vertical="center"/>
    </xf>
    <xf numFmtId="10" fontId="20" fillId="19" borderId="22" xfId="2" applyNumberFormat="1" applyFont="1" applyFill="1" applyBorder="1" applyAlignment="1">
      <alignment horizontal="right"/>
    </xf>
    <xf numFmtId="10" fontId="20" fillId="19" borderId="7" xfId="0" applyNumberFormat="1" applyFont="1" applyFill="1" applyBorder="1" applyAlignment="1">
      <alignment horizontal="right"/>
    </xf>
    <xf numFmtId="0" fontId="20" fillId="19" borderId="23" xfId="0" applyFont="1" applyFill="1" applyBorder="1" applyAlignment="1">
      <alignment horizontal="center"/>
    </xf>
    <xf numFmtId="0" fontId="20" fillId="19" borderId="0" xfId="0" applyFont="1" applyFill="1" applyAlignment="1">
      <alignment horizontal="center"/>
    </xf>
    <xf numFmtId="0" fontId="20" fillId="19" borderId="22" xfId="0" applyFont="1" applyFill="1" applyBorder="1" applyAlignment="1">
      <alignment horizontal="center"/>
    </xf>
    <xf numFmtId="0" fontId="21" fillId="19" borderId="8" xfId="0" applyFont="1" applyFill="1" applyBorder="1"/>
    <xf numFmtId="0" fontId="21" fillId="19" borderId="6" xfId="0" applyFont="1" applyFill="1" applyBorder="1"/>
    <xf numFmtId="168" fontId="21" fillId="19" borderId="6" xfId="0" applyNumberFormat="1" applyFont="1" applyFill="1" applyBorder="1" applyAlignment="1">
      <alignment horizontal="center"/>
    </xf>
    <xf numFmtId="44" fontId="21" fillId="19" borderId="6" xfId="0" applyNumberFormat="1" applyFont="1" applyFill="1" applyBorder="1" applyAlignment="1">
      <alignment horizontal="center"/>
    </xf>
    <xf numFmtId="166" fontId="21" fillId="19" borderId="6" xfId="0" applyNumberFormat="1" applyFont="1" applyFill="1" applyBorder="1"/>
    <xf numFmtId="9" fontId="21" fillId="19" borderId="6" xfId="2" applyFont="1" applyFill="1" applyBorder="1" applyAlignment="1"/>
    <xf numFmtId="0" fontId="21" fillId="19" borderId="22" xfId="0" applyFont="1" applyFill="1" applyBorder="1"/>
    <xf numFmtId="10" fontId="20" fillId="19" borderId="44" xfId="2" applyNumberFormat="1" applyFont="1" applyFill="1" applyBorder="1" applyAlignment="1">
      <alignment horizontal="right"/>
    </xf>
    <xf numFmtId="10" fontId="20" fillId="19" borderId="0" xfId="2" applyNumberFormat="1" applyFont="1" applyFill="1" applyBorder="1" applyAlignment="1">
      <alignment horizontal="right"/>
    </xf>
    <xf numFmtId="0" fontId="31" fillId="14" borderId="10" xfId="0" applyFont="1" applyFill="1" applyBorder="1" applyAlignment="1">
      <alignment horizontal="center"/>
    </xf>
    <xf numFmtId="1" fontId="17" fillId="12" borderId="19" xfId="0" applyNumberFormat="1" applyFont="1" applyFill="1" applyBorder="1" applyAlignment="1">
      <alignment horizontal="center"/>
    </xf>
    <xf numFmtId="1" fontId="3" fillId="12" borderId="19" xfId="0" applyNumberFormat="1" applyFont="1" applyFill="1" applyBorder="1" applyAlignment="1">
      <alignment horizontal="center"/>
    </xf>
    <xf numFmtId="9" fontId="3" fillId="12" borderId="33" xfId="2" applyFont="1" applyFill="1" applyBorder="1" applyAlignment="1">
      <alignment horizontal="center"/>
    </xf>
    <xf numFmtId="1" fontId="5" fillId="12" borderId="18" xfId="0" applyNumberFormat="1" applyFont="1" applyFill="1" applyBorder="1" applyAlignment="1">
      <alignment horizontal="center"/>
    </xf>
    <xf numFmtId="9" fontId="3" fillId="12" borderId="20" xfId="2" applyFont="1" applyFill="1" applyBorder="1" applyAlignment="1">
      <alignment horizontal="center"/>
    </xf>
    <xf numFmtId="0" fontId="3" fillId="12" borderId="24" xfId="0" applyFont="1" applyFill="1" applyBorder="1" applyAlignment="1">
      <alignment horizontal="center"/>
    </xf>
    <xf numFmtId="0" fontId="3" fillId="12" borderId="19" xfId="2" applyNumberFormat="1" applyFont="1" applyFill="1" applyBorder="1" applyAlignment="1">
      <alignment horizontal="center"/>
    </xf>
    <xf numFmtId="1" fontId="3" fillId="12" borderId="25" xfId="0" applyNumberFormat="1" applyFont="1" applyFill="1" applyBorder="1" applyAlignment="1">
      <alignment horizontal="center"/>
    </xf>
    <xf numFmtId="9" fontId="3" fillId="12" borderId="38" xfId="2" applyFont="1" applyFill="1" applyBorder="1" applyAlignment="1">
      <alignment horizontal="center"/>
    </xf>
    <xf numFmtId="1" fontId="3" fillId="12" borderId="20" xfId="0" applyNumberFormat="1" applyFont="1" applyFill="1" applyBorder="1" applyAlignment="1">
      <alignment horizontal="center"/>
    </xf>
    <xf numFmtId="1" fontId="5" fillId="12" borderId="31" xfId="0" applyNumberFormat="1" applyFont="1" applyFill="1" applyBorder="1" applyAlignment="1">
      <alignment horizontal="center"/>
    </xf>
    <xf numFmtId="0" fontId="3" fillId="12" borderId="18" xfId="0" applyFont="1" applyFill="1" applyBorder="1" applyAlignment="1">
      <alignment horizontal="center"/>
    </xf>
    <xf numFmtId="0" fontId="5" fillId="12" borderId="18" xfId="0" applyFont="1" applyFill="1" applyBorder="1" applyAlignment="1" applyProtection="1">
      <alignment horizontal="center"/>
      <protection locked="0"/>
    </xf>
    <xf numFmtId="0" fontId="3" fillId="12" borderId="20" xfId="2" applyNumberFormat="1" applyFont="1" applyFill="1" applyBorder="1" applyAlignment="1" applyProtection="1">
      <alignment horizontal="center"/>
      <protection locked="0"/>
    </xf>
    <xf numFmtId="9" fontId="3" fillId="12" borderId="19" xfId="2" applyFont="1" applyFill="1" applyBorder="1" applyAlignment="1">
      <alignment horizontal="center"/>
    </xf>
    <xf numFmtId="0" fontId="0" fillId="12" borderId="19" xfId="0" applyFill="1" applyBorder="1" applyAlignment="1" applyProtection="1">
      <alignment horizontal="center"/>
      <protection locked="0"/>
    </xf>
    <xf numFmtId="10" fontId="5" fillId="0" borderId="1" xfId="2" applyNumberFormat="1" applyFont="1" applyBorder="1"/>
    <xf numFmtId="0" fontId="3" fillId="12" borderId="13" xfId="0" applyFont="1" applyFill="1" applyBorder="1" applyAlignment="1">
      <alignment horizontal="center"/>
    </xf>
    <xf numFmtId="17" fontId="3" fillId="12" borderId="15" xfId="0" applyNumberFormat="1" applyFont="1" applyFill="1" applyBorder="1" applyAlignment="1">
      <alignment horizontal="center"/>
    </xf>
    <xf numFmtId="0" fontId="5" fillId="12" borderId="28" xfId="0" applyFont="1" applyFill="1" applyBorder="1" applyAlignment="1">
      <alignment horizontal="center"/>
    </xf>
    <xf numFmtId="1" fontId="3" fillId="12" borderId="14" xfId="0" applyNumberFormat="1" applyFont="1" applyFill="1" applyBorder="1" applyAlignment="1">
      <alignment horizontal="center"/>
    </xf>
    <xf numFmtId="9" fontId="3" fillId="12" borderId="32" xfId="2" applyFont="1" applyFill="1" applyBorder="1" applyAlignment="1">
      <alignment horizontal="center"/>
    </xf>
    <xf numFmtId="1" fontId="5" fillId="12" borderId="13" xfId="0" applyNumberFormat="1" applyFont="1" applyFill="1" applyBorder="1" applyAlignment="1">
      <alignment horizontal="center"/>
    </xf>
    <xf numFmtId="9" fontId="3" fillId="12" borderId="15" xfId="2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1" fontId="3" fillId="12" borderId="13" xfId="0" applyNumberFormat="1" applyFont="1" applyFill="1" applyBorder="1" applyAlignment="1">
      <alignment horizontal="center"/>
    </xf>
    <xf numFmtId="1" fontId="5" fillId="12" borderId="15" xfId="0" applyNumberFormat="1" applyFont="1" applyFill="1" applyBorder="1" applyAlignment="1">
      <alignment horizontal="center"/>
    </xf>
    <xf numFmtId="0" fontId="0" fillId="12" borderId="0" xfId="0" applyFill="1"/>
    <xf numFmtId="0" fontId="3" fillId="12" borderId="16" xfId="0" applyFont="1" applyFill="1" applyBorder="1" applyAlignment="1">
      <alignment horizontal="center"/>
    </xf>
    <xf numFmtId="17" fontId="3" fillId="12" borderId="17" xfId="0" applyNumberFormat="1" applyFont="1" applyFill="1" applyBorder="1" applyAlignment="1">
      <alignment horizontal="center"/>
    </xf>
    <xf numFmtId="9" fontId="3" fillId="12" borderId="27" xfId="2" applyFont="1" applyFill="1" applyBorder="1" applyAlignment="1">
      <alignment horizontal="center"/>
    </xf>
    <xf numFmtId="9" fontId="3" fillId="12" borderId="17" xfId="2" applyFont="1" applyFill="1" applyBorder="1" applyAlignment="1">
      <alignment horizontal="center"/>
    </xf>
    <xf numFmtId="0" fontId="3" fillId="12" borderId="21" xfId="0" applyFont="1" applyFill="1" applyBorder="1" applyAlignment="1">
      <alignment horizontal="center"/>
    </xf>
    <xf numFmtId="0" fontId="3" fillId="12" borderId="10" xfId="2" applyNumberFormat="1" applyFont="1" applyFill="1" applyBorder="1" applyAlignment="1">
      <alignment horizontal="center"/>
    </xf>
    <xf numFmtId="1" fontId="3" fillId="12" borderId="11" xfId="0" applyNumberFormat="1" applyFont="1" applyFill="1" applyBorder="1" applyAlignment="1">
      <alignment horizontal="center"/>
    </xf>
    <xf numFmtId="9" fontId="3" fillId="12" borderId="37" xfId="2" applyFont="1" applyFill="1" applyBorder="1" applyAlignment="1">
      <alignment horizontal="center"/>
    </xf>
    <xf numFmtId="1" fontId="3" fillId="12" borderId="16" xfId="0" applyNumberFormat="1" applyFont="1" applyFill="1" applyBorder="1" applyAlignment="1">
      <alignment horizontal="center"/>
    </xf>
    <xf numFmtId="1" fontId="5" fillId="12" borderId="17" xfId="0" applyNumberFormat="1" applyFont="1" applyFill="1" applyBorder="1" applyAlignment="1">
      <alignment horizontal="center"/>
    </xf>
    <xf numFmtId="1" fontId="3" fillId="12" borderId="17" xfId="0" applyNumberFormat="1" applyFont="1" applyFill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9" fontId="3" fillId="0" borderId="60" xfId="2" applyFont="1" applyFill="1" applyBorder="1" applyAlignment="1">
      <alignment horizontal="center"/>
    </xf>
    <xf numFmtId="9" fontId="3" fillId="0" borderId="60" xfId="2" applyFont="1" applyBorder="1" applyAlignment="1">
      <alignment horizontal="center"/>
    </xf>
    <xf numFmtId="0" fontId="5" fillId="12" borderId="64" xfId="0" applyFont="1" applyFill="1" applyBorder="1" applyAlignment="1">
      <alignment horizontal="center"/>
    </xf>
    <xf numFmtId="9" fontId="3" fillId="12" borderId="54" xfId="2" applyFont="1" applyFill="1" applyBorder="1" applyAlignment="1">
      <alignment horizontal="center"/>
    </xf>
    <xf numFmtId="9" fontId="3" fillId="0" borderId="57" xfId="2" applyFont="1" applyFill="1" applyBorder="1" applyAlignment="1">
      <alignment horizontal="center"/>
    </xf>
    <xf numFmtId="1" fontId="3" fillId="0" borderId="56" xfId="0" applyNumberFormat="1" applyFont="1" applyBorder="1" applyAlignment="1">
      <alignment horizontal="center"/>
    </xf>
    <xf numFmtId="1" fontId="3" fillId="0" borderId="59" xfId="0" applyNumberFormat="1" applyFont="1" applyBorder="1" applyAlignment="1">
      <alignment horizontal="center"/>
    </xf>
    <xf numFmtId="1" fontId="5" fillId="0" borderId="55" xfId="0" applyNumberFormat="1" applyFont="1" applyBorder="1" applyAlignment="1">
      <alignment horizontal="center"/>
    </xf>
    <xf numFmtId="1" fontId="5" fillId="0" borderId="58" xfId="0" applyNumberFormat="1" applyFont="1" applyBorder="1" applyAlignment="1">
      <alignment horizontal="center"/>
    </xf>
    <xf numFmtId="0" fontId="3" fillId="0" borderId="55" xfId="0" applyFont="1" applyBorder="1" applyAlignment="1">
      <alignment horizontal="center"/>
    </xf>
    <xf numFmtId="0" fontId="3" fillId="0" borderId="56" xfId="0" applyFont="1" applyBorder="1" applyAlignment="1">
      <alignment horizontal="center"/>
    </xf>
    <xf numFmtId="0" fontId="3" fillId="0" borderId="58" xfId="0" applyFont="1" applyBorder="1" applyAlignment="1">
      <alignment horizontal="center"/>
    </xf>
    <xf numFmtId="0" fontId="3" fillId="0" borderId="59" xfId="2" applyNumberFormat="1" applyFont="1" applyFill="1" applyBorder="1" applyAlignment="1">
      <alignment horizontal="center"/>
    </xf>
    <xf numFmtId="0" fontId="3" fillId="0" borderId="59" xfId="2" applyNumberFormat="1" applyFont="1" applyBorder="1" applyAlignment="1">
      <alignment horizontal="center"/>
    </xf>
    <xf numFmtId="1" fontId="3" fillId="0" borderId="55" xfId="0" applyNumberFormat="1" applyFont="1" applyBorder="1" applyAlignment="1">
      <alignment horizontal="center"/>
    </xf>
    <xf numFmtId="1" fontId="5" fillId="0" borderId="57" xfId="0" applyNumberFormat="1" applyFont="1" applyBorder="1" applyAlignment="1">
      <alignment horizontal="center"/>
    </xf>
    <xf numFmtId="1" fontId="3" fillId="0" borderId="58" xfId="0" applyNumberFormat="1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1" fontId="5" fillId="0" borderId="60" xfId="0" applyNumberFormat="1" applyFont="1" applyBorder="1" applyAlignment="1">
      <alignment horizontal="center"/>
    </xf>
    <xf numFmtId="1" fontId="3" fillId="0" borderId="60" xfId="0" applyNumberFormat="1" applyFont="1" applyBorder="1" applyAlignment="1">
      <alignment horizontal="center"/>
    </xf>
    <xf numFmtId="1" fontId="3" fillId="12" borderId="45" xfId="0" applyNumberFormat="1" applyFont="1" applyFill="1" applyBorder="1" applyAlignment="1">
      <alignment horizontal="center"/>
    </xf>
    <xf numFmtId="0" fontId="3" fillId="12" borderId="54" xfId="0" applyFont="1" applyFill="1" applyBorder="1" applyAlignment="1">
      <alignment horizontal="center"/>
    </xf>
    <xf numFmtId="1" fontId="3" fillId="12" borderId="48" xfId="0" applyNumberFormat="1" applyFont="1" applyFill="1" applyBorder="1" applyAlignment="1">
      <alignment horizontal="center"/>
    </xf>
    <xf numFmtId="1" fontId="5" fillId="12" borderId="49" xfId="0" applyNumberFormat="1" applyFont="1" applyFill="1" applyBorder="1" applyAlignment="1">
      <alignment horizontal="center"/>
    </xf>
    <xf numFmtId="1" fontId="5" fillId="12" borderId="47" xfId="0" applyNumberFormat="1" applyFont="1" applyFill="1" applyBorder="1" applyAlignment="1">
      <alignment horizontal="center"/>
    </xf>
    <xf numFmtId="9" fontId="32" fillId="12" borderId="27" xfId="2" applyFont="1" applyFill="1" applyBorder="1" applyAlignment="1">
      <alignment horizontal="center"/>
    </xf>
    <xf numFmtId="9" fontId="32" fillId="12" borderId="38" xfId="2" applyFont="1" applyFill="1" applyBorder="1" applyAlignment="1">
      <alignment horizontal="center"/>
    </xf>
    <xf numFmtId="0" fontId="5" fillId="12" borderId="45" xfId="0" applyFont="1" applyFill="1" applyBorder="1" applyAlignment="1">
      <alignment horizontal="center"/>
    </xf>
    <xf numFmtId="0" fontId="5" fillId="12" borderId="13" xfId="0" applyFont="1" applyFill="1" applyBorder="1" applyAlignment="1" applyProtection="1">
      <alignment horizontal="center"/>
      <protection locked="0"/>
    </xf>
    <xf numFmtId="0" fontId="3" fillId="12" borderId="15" xfId="2" applyNumberFormat="1" applyFont="1" applyFill="1" applyBorder="1" applyAlignment="1" applyProtection="1">
      <alignment horizontal="center"/>
      <protection locked="0"/>
    </xf>
    <xf numFmtId="1" fontId="3" fillId="12" borderId="32" xfId="2" applyNumberFormat="1" applyFont="1" applyFill="1" applyBorder="1" applyAlignment="1">
      <alignment horizontal="center"/>
    </xf>
    <xf numFmtId="9" fontId="3" fillId="12" borderId="11" xfId="2" applyFont="1" applyFill="1" applyBorder="1" applyAlignment="1">
      <alignment horizontal="center"/>
    </xf>
    <xf numFmtId="0" fontId="3" fillId="12" borderId="10" xfId="0" applyFont="1" applyFill="1" applyBorder="1" applyAlignment="1" applyProtection="1">
      <alignment horizontal="center"/>
      <protection locked="0"/>
    </xf>
    <xf numFmtId="0" fontId="5" fillId="12" borderId="16" xfId="0" applyFont="1" applyFill="1" applyBorder="1" applyAlignment="1" applyProtection="1">
      <alignment horizontal="center"/>
      <protection locked="0"/>
    </xf>
    <xf numFmtId="0" fontId="3" fillId="12" borderId="17" xfId="2" applyNumberFormat="1" applyFont="1" applyFill="1" applyBorder="1" applyAlignment="1" applyProtection="1">
      <alignment horizontal="center"/>
      <protection locked="0"/>
    </xf>
    <xf numFmtId="0" fontId="3" fillId="12" borderId="27" xfId="2" applyNumberFormat="1" applyFont="1" applyFill="1" applyBorder="1" applyAlignment="1">
      <alignment horizontal="center"/>
    </xf>
    <xf numFmtId="0" fontId="0" fillId="12" borderId="10" xfId="0" applyFill="1" applyBorder="1" applyAlignment="1" applyProtection="1">
      <alignment horizontal="center"/>
      <protection locked="0"/>
    </xf>
    <xf numFmtId="0" fontId="3" fillId="17" borderId="65" xfId="0" applyFont="1" applyFill="1" applyBorder="1" applyAlignment="1">
      <alignment horizontal="center"/>
    </xf>
    <xf numFmtId="17" fontId="3" fillId="17" borderId="66" xfId="0" applyNumberFormat="1" applyFont="1" applyFill="1" applyBorder="1" applyAlignment="1">
      <alignment horizontal="center"/>
    </xf>
    <xf numFmtId="0" fontId="3" fillId="17" borderId="67" xfId="0" applyFont="1" applyFill="1" applyBorder="1" applyAlignment="1">
      <alignment horizontal="center"/>
    </xf>
    <xf numFmtId="17" fontId="3" fillId="17" borderId="68" xfId="0" applyNumberFormat="1" applyFont="1" applyFill="1" applyBorder="1" applyAlignment="1">
      <alignment horizontal="center"/>
    </xf>
    <xf numFmtId="0" fontId="3" fillId="17" borderId="69" xfId="0" applyFont="1" applyFill="1" applyBorder="1" applyAlignment="1">
      <alignment horizontal="center"/>
    </xf>
    <xf numFmtId="17" fontId="3" fillId="17" borderId="70" xfId="0" applyNumberFormat="1" applyFont="1" applyFill="1" applyBorder="1" applyAlignment="1">
      <alignment horizontal="center"/>
    </xf>
    <xf numFmtId="0" fontId="5" fillId="0" borderId="55" xfId="0" applyFont="1" applyBorder="1" applyAlignment="1" applyProtection="1">
      <alignment horizontal="center"/>
      <protection locked="0"/>
    </xf>
    <xf numFmtId="0" fontId="3" fillId="0" borderId="57" xfId="2" applyNumberFormat="1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3" fillId="0" borderId="60" xfId="2" applyNumberFormat="1" applyFont="1" applyFill="1" applyBorder="1" applyAlignment="1" applyProtection="1">
      <alignment horizontal="center"/>
      <protection locked="0"/>
    </xf>
    <xf numFmtId="0" fontId="3" fillId="0" borderId="60" xfId="2" applyNumberFormat="1" applyFont="1" applyBorder="1" applyAlignment="1" applyProtection="1">
      <alignment horizontal="center"/>
      <protection locked="0"/>
    </xf>
    <xf numFmtId="1" fontId="3" fillId="0" borderId="56" xfId="2" applyNumberFormat="1" applyFont="1" applyFill="1" applyBorder="1" applyAlignment="1">
      <alignment horizontal="center"/>
    </xf>
    <xf numFmtId="0" fontId="3" fillId="0" borderId="56" xfId="0" applyFont="1" applyBorder="1" applyAlignment="1" applyProtection="1">
      <alignment horizontal="center"/>
      <protection locked="0"/>
    </xf>
    <xf numFmtId="0" fontId="3" fillId="0" borderId="59" xfId="0" applyFont="1" applyBorder="1" applyAlignment="1" applyProtection="1">
      <alignment horizontal="center"/>
      <protection locked="0"/>
    </xf>
    <xf numFmtId="17" fontId="0" fillId="16" borderId="0" xfId="0" applyNumberFormat="1" applyFill="1" applyAlignment="1">
      <alignment horizontal="center" vertical="center"/>
    </xf>
    <xf numFmtId="0" fontId="14" fillId="0" borderId="1" xfId="0" applyFont="1" applyBorder="1" applyAlignment="1">
      <alignment horizontal="center"/>
    </xf>
    <xf numFmtId="2" fontId="0" fillId="0" borderId="0" xfId="0" applyNumberFormat="1"/>
    <xf numFmtId="170" fontId="16" fillId="0" borderId="0" xfId="0" applyNumberFormat="1" applyFont="1"/>
    <xf numFmtId="0" fontId="0" fillId="0" borderId="59" xfId="0" applyBorder="1" applyAlignment="1" applyProtection="1">
      <alignment horizontal="center"/>
      <protection locked="0"/>
    </xf>
    <xf numFmtId="0" fontId="33" fillId="0" borderId="0" xfId="0" applyFont="1" applyAlignment="1">
      <alignment horizontal="left"/>
    </xf>
    <xf numFmtId="169" fontId="3" fillId="0" borderId="0" xfId="0" applyNumberFormat="1" applyFont="1" applyAlignment="1">
      <alignment horizontal="left"/>
    </xf>
    <xf numFmtId="0" fontId="16" fillId="10" borderId="0" xfId="0" applyFont="1" applyFill="1" applyAlignment="1">
      <alignment horizontal="center"/>
    </xf>
    <xf numFmtId="9" fontId="3" fillId="0" borderId="1" xfId="2" applyFont="1" applyBorder="1"/>
    <xf numFmtId="0" fontId="29" fillId="0" borderId="0" xfId="0" applyFont="1" applyAlignment="1">
      <alignment horizontal="center" vertical="center"/>
    </xf>
    <xf numFmtId="0" fontId="3" fillId="0" borderId="53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9" fontId="3" fillId="0" borderId="63" xfId="2" applyFont="1" applyFill="1" applyBorder="1" applyAlignment="1">
      <alignment horizontal="center"/>
    </xf>
    <xf numFmtId="1" fontId="17" fillId="0" borderId="62" xfId="0" applyNumberFormat="1" applyFont="1" applyBorder="1" applyAlignment="1">
      <alignment horizontal="center"/>
    </xf>
    <xf numFmtId="1" fontId="3" fillId="0" borderId="62" xfId="0" applyNumberFormat="1" applyFont="1" applyBorder="1" applyAlignment="1">
      <alignment horizontal="center"/>
    </xf>
    <xf numFmtId="1" fontId="5" fillId="0" borderId="61" xfId="0" applyNumberFormat="1" applyFont="1" applyBorder="1" applyAlignment="1">
      <alignment horizontal="center"/>
    </xf>
    <xf numFmtId="0" fontId="3" fillId="0" borderId="61" xfId="0" applyFont="1" applyBorder="1" applyAlignment="1">
      <alignment horizontal="center"/>
    </xf>
    <xf numFmtId="0" fontId="3" fillId="0" borderId="62" xfId="2" applyNumberFormat="1" applyFont="1" applyFill="1" applyBorder="1" applyAlignment="1">
      <alignment horizontal="center"/>
    </xf>
    <xf numFmtId="1" fontId="3" fillId="0" borderId="61" xfId="0" applyNumberFormat="1" applyFont="1" applyBorder="1" applyAlignment="1">
      <alignment horizontal="center"/>
    </xf>
    <xf numFmtId="1" fontId="3" fillId="0" borderId="63" xfId="0" applyNumberFormat="1" applyFont="1" applyBorder="1" applyAlignment="1">
      <alignment horizontal="center"/>
    </xf>
    <xf numFmtId="0" fontId="3" fillId="0" borderId="73" xfId="0" applyFont="1" applyBorder="1" applyAlignment="1">
      <alignment horizontal="center"/>
    </xf>
    <xf numFmtId="0" fontId="3" fillId="9" borderId="45" xfId="0" applyFont="1" applyFill="1" applyBorder="1" applyAlignment="1">
      <alignment horizontal="center"/>
    </xf>
    <xf numFmtId="17" fontId="3" fillId="10" borderId="48" xfId="0" applyNumberFormat="1" applyFont="1" applyFill="1" applyBorder="1" applyAlignment="1">
      <alignment horizontal="center"/>
    </xf>
    <xf numFmtId="1" fontId="3" fillId="0" borderId="72" xfId="0" applyNumberFormat="1" applyFont="1" applyBorder="1" applyAlignment="1">
      <alignment horizontal="center"/>
    </xf>
    <xf numFmtId="1" fontId="3" fillId="0" borderId="74" xfId="0" applyNumberFormat="1" applyFont="1" applyBorder="1" applyAlignment="1">
      <alignment horizontal="center"/>
    </xf>
    <xf numFmtId="1" fontId="3" fillId="0" borderId="57" xfId="0" applyNumberFormat="1" applyFont="1" applyBorder="1" applyAlignment="1">
      <alignment horizontal="center"/>
    </xf>
    <xf numFmtId="0" fontId="3" fillId="13" borderId="45" xfId="0" applyFont="1" applyFill="1" applyBorder="1" applyAlignment="1">
      <alignment horizontal="center"/>
    </xf>
    <xf numFmtId="17" fontId="3" fillId="13" borderId="48" xfId="0" applyNumberFormat="1" applyFont="1" applyFill="1" applyBorder="1" applyAlignment="1">
      <alignment horizontal="center"/>
    </xf>
    <xf numFmtId="9" fontId="17" fillId="0" borderId="63" xfId="2" applyFont="1" applyFill="1" applyBorder="1" applyAlignment="1">
      <alignment horizontal="center"/>
    </xf>
    <xf numFmtId="0" fontId="5" fillId="0" borderId="61" xfId="0" applyFont="1" applyBorder="1" applyAlignment="1" applyProtection="1">
      <alignment horizontal="center"/>
      <protection locked="0"/>
    </xf>
    <xf numFmtId="0" fontId="3" fillId="0" borderId="63" xfId="2" applyNumberFormat="1" applyFont="1" applyFill="1" applyBorder="1" applyAlignment="1" applyProtection="1">
      <alignment horizontal="center"/>
      <protection locked="0"/>
    </xf>
    <xf numFmtId="0" fontId="0" fillId="0" borderId="62" xfId="0" applyBorder="1" applyAlignment="1" applyProtection="1">
      <alignment horizontal="center"/>
      <protection locked="0"/>
    </xf>
    <xf numFmtId="0" fontId="2" fillId="10" borderId="0" xfId="0" applyFont="1" applyFill="1" applyAlignment="1">
      <alignment horizontal="center"/>
    </xf>
    <xf numFmtId="17" fontId="2" fillId="9" borderId="0" xfId="0" applyNumberFormat="1" applyFont="1" applyFill="1" applyAlignment="1">
      <alignment horizontal="center"/>
    </xf>
    <xf numFmtId="0" fontId="0" fillId="22" borderId="0" xfId="0" applyFill="1"/>
    <xf numFmtId="0" fontId="19" fillId="22" borderId="0" xfId="0" applyFont="1" applyFill="1" applyAlignment="1">
      <alignment horizontal="right"/>
    </xf>
    <xf numFmtId="0" fontId="0" fillId="22" borderId="0" xfId="0" applyFill="1" applyAlignment="1">
      <alignment horizontal="center"/>
    </xf>
    <xf numFmtId="1" fontId="3" fillId="0" borderId="59" xfId="2" applyNumberFormat="1" applyFont="1" applyFill="1" applyBorder="1" applyAlignment="1">
      <alignment horizontal="center"/>
    </xf>
    <xf numFmtId="0" fontId="0" fillId="16" borderId="75" xfId="0" applyFill="1" applyBorder="1"/>
    <xf numFmtId="0" fontId="0" fillId="18" borderId="75" xfId="0" applyFill="1" applyBorder="1" applyAlignment="1">
      <alignment horizontal="center"/>
    </xf>
    <xf numFmtId="0" fontId="16" fillId="10" borderId="10" xfId="0" applyFont="1" applyFill="1" applyBorder="1"/>
    <xf numFmtId="0" fontId="16" fillId="10" borderId="10" xfId="0" applyFont="1" applyFill="1" applyBorder="1" applyAlignment="1">
      <alignment horizontal="left"/>
    </xf>
    <xf numFmtId="9" fontId="3" fillId="0" borderId="0" xfId="0" applyNumberFormat="1" applyFont="1"/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right" vertical="top"/>
    </xf>
    <xf numFmtId="0" fontId="5" fillId="21" borderId="61" xfId="0" applyFont="1" applyFill="1" applyBorder="1" applyAlignment="1">
      <alignment horizontal="center"/>
    </xf>
    <xf numFmtId="9" fontId="3" fillId="21" borderId="63" xfId="2" applyFont="1" applyFill="1" applyBorder="1" applyAlignment="1">
      <alignment horizontal="center"/>
    </xf>
    <xf numFmtId="1" fontId="17" fillId="21" borderId="62" xfId="0" applyNumberFormat="1" applyFont="1" applyFill="1" applyBorder="1" applyAlignment="1">
      <alignment horizontal="center"/>
    </xf>
    <xf numFmtId="1" fontId="3" fillId="21" borderId="62" xfId="0" applyNumberFormat="1" applyFont="1" applyFill="1" applyBorder="1" applyAlignment="1">
      <alignment horizontal="center"/>
    </xf>
    <xf numFmtId="0" fontId="3" fillId="21" borderId="62" xfId="2" applyNumberFormat="1" applyFont="1" applyFill="1" applyBorder="1" applyAlignment="1">
      <alignment horizontal="center"/>
    </xf>
    <xf numFmtId="1" fontId="3" fillId="21" borderId="61" xfId="0" applyNumberFormat="1" applyFont="1" applyFill="1" applyBorder="1" applyAlignment="1">
      <alignment horizontal="center"/>
    </xf>
    <xf numFmtId="1" fontId="3" fillId="21" borderId="63" xfId="0" applyNumberFormat="1" applyFont="1" applyFill="1" applyBorder="1" applyAlignment="1">
      <alignment horizontal="center"/>
    </xf>
    <xf numFmtId="9" fontId="17" fillId="21" borderId="63" xfId="2" applyFont="1" applyFill="1" applyBorder="1" applyAlignment="1">
      <alignment horizontal="center"/>
    </xf>
    <xf numFmtId="0" fontId="5" fillId="21" borderId="61" xfId="0" applyFont="1" applyFill="1" applyBorder="1" applyAlignment="1" applyProtection="1">
      <alignment horizontal="center"/>
      <protection locked="0"/>
    </xf>
    <xf numFmtId="0" fontId="3" fillId="21" borderId="63" xfId="2" applyNumberFormat="1" applyFont="1" applyFill="1" applyBorder="1" applyAlignment="1" applyProtection="1">
      <alignment horizontal="center"/>
      <protection locked="0"/>
    </xf>
    <xf numFmtId="1" fontId="5" fillId="21" borderId="61" xfId="0" applyNumberFormat="1" applyFont="1" applyFill="1" applyBorder="1" applyAlignment="1">
      <alignment horizontal="center"/>
    </xf>
    <xf numFmtId="1" fontId="3" fillId="21" borderId="59" xfId="2" applyNumberFormat="1" applyFont="1" applyFill="1" applyBorder="1" applyAlignment="1">
      <alignment horizontal="center"/>
    </xf>
    <xf numFmtId="0" fontId="0" fillId="21" borderId="62" xfId="0" applyFill="1" applyBorder="1" applyAlignment="1" applyProtection="1">
      <alignment horizontal="center"/>
      <protection locked="0"/>
    </xf>
    <xf numFmtId="17" fontId="0" fillId="16" borderId="10" xfId="0" applyNumberForma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0" fontId="0" fillId="0" borderId="47" xfId="0" applyBorder="1"/>
    <xf numFmtId="0" fontId="0" fillId="18" borderId="47" xfId="0" applyFill="1" applyBorder="1"/>
    <xf numFmtId="0" fontId="0" fillId="0" borderId="47" xfId="0" applyBorder="1" applyAlignment="1">
      <alignment horizontal="center"/>
    </xf>
    <xf numFmtId="0" fontId="0" fillId="18" borderId="10" xfId="0" applyFill="1" applyBorder="1" applyAlignment="1">
      <alignment horizontal="center"/>
    </xf>
    <xf numFmtId="0" fontId="0" fillId="12" borderId="10" xfId="0" applyFill="1" applyBorder="1"/>
    <xf numFmtId="0" fontId="0" fillId="23" borderId="10" xfId="0" applyFill="1" applyBorder="1"/>
    <xf numFmtId="4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10" borderId="0" xfId="0" applyFont="1" applyFill="1" applyAlignment="1">
      <alignment horizontal="left"/>
    </xf>
    <xf numFmtId="0" fontId="2" fillId="10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0" xfId="0" applyFont="1"/>
    <xf numFmtId="2" fontId="5" fillId="0" borderId="0" xfId="0" applyNumberFormat="1" applyFont="1" applyAlignment="1">
      <alignment horizontal="center"/>
    </xf>
    <xf numFmtId="0" fontId="0" fillId="24" borderId="10" xfId="0" applyFill="1" applyBorder="1"/>
    <xf numFmtId="0" fontId="22" fillId="9" borderId="23" xfId="0" applyFont="1" applyFill="1" applyBorder="1" applyAlignment="1">
      <alignment horizontal="left"/>
    </xf>
    <xf numFmtId="0" fontId="22" fillId="9" borderId="0" xfId="0" applyFont="1" applyFill="1" applyAlignment="1">
      <alignment horizontal="left"/>
    </xf>
    <xf numFmtId="9" fontId="22" fillId="9" borderId="0" xfId="2" applyFont="1" applyFill="1" applyBorder="1" applyAlignment="1"/>
    <xf numFmtId="0" fontId="5" fillId="0" borderId="76" xfId="0" applyFont="1" applyBorder="1" applyAlignment="1">
      <alignment horizontal="center"/>
    </xf>
    <xf numFmtId="17" fontId="3" fillId="10" borderId="10" xfId="0" applyNumberFormat="1" applyFont="1" applyFill="1" applyBorder="1" applyAlignment="1">
      <alignment horizontal="center"/>
    </xf>
    <xf numFmtId="0" fontId="3" fillId="9" borderId="28" xfId="0" applyFont="1" applyFill="1" applyBorder="1" applyAlignment="1">
      <alignment horizontal="center"/>
    </xf>
    <xf numFmtId="0" fontId="3" fillId="9" borderId="46" xfId="0" applyFont="1" applyFill="1" applyBorder="1" applyAlignment="1">
      <alignment horizontal="center"/>
    </xf>
    <xf numFmtId="0" fontId="13" fillId="13" borderId="23" xfId="0" applyFont="1" applyFill="1" applyBorder="1"/>
    <xf numFmtId="0" fontId="13" fillId="13" borderId="0" xfId="0" applyFont="1" applyFill="1"/>
    <xf numFmtId="9" fontId="13" fillId="13" borderId="0" xfId="2" applyFont="1" applyFill="1" applyBorder="1" applyAlignment="1"/>
    <xf numFmtId="0" fontId="0" fillId="0" borderId="75" xfId="0" applyBorder="1" applyAlignment="1">
      <alignment horizontal="center"/>
    </xf>
    <xf numFmtId="0" fontId="0" fillId="10" borderId="75" xfId="0" applyFill="1" applyBorder="1" applyAlignment="1">
      <alignment horizontal="center"/>
    </xf>
    <xf numFmtId="0" fontId="0" fillId="25" borderId="75" xfId="0" applyFill="1" applyBorder="1" applyAlignment="1">
      <alignment horizontal="center"/>
    </xf>
    <xf numFmtId="0" fontId="0" fillId="16" borderId="75" xfId="0" applyFill="1" applyBorder="1" applyAlignment="1">
      <alignment horizontal="center"/>
    </xf>
    <xf numFmtId="0" fontId="19" fillId="0" borderId="0" xfId="0" applyFont="1" applyAlignment="1">
      <alignment horizontal="center"/>
    </xf>
    <xf numFmtId="169" fontId="3" fillId="0" borderId="0" xfId="0" applyNumberFormat="1" applyFont="1" applyAlignment="1">
      <alignment horizontal="center"/>
    </xf>
    <xf numFmtId="169" fontId="3" fillId="0" borderId="10" xfId="0" applyNumberFormat="1" applyFont="1" applyBorder="1" applyAlignment="1">
      <alignment horizontal="center"/>
    </xf>
    <xf numFmtId="2" fontId="3" fillId="0" borderId="10" xfId="0" applyNumberFormat="1" applyFont="1" applyBorder="1" applyAlignment="1">
      <alignment horizontal="center"/>
    </xf>
    <xf numFmtId="49" fontId="16" fillId="0" borderId="0" xfId="0" applyNumberFormat="1" applyFont="1" applyAlignment="1">
      <alignment horizontal="center"/>
    </xf>
    <xf numFmtId="0" fontId="41" fillId="21" borderId="51" xfId="0" applyFont="1" applyFill="1" applyBorder="1" applyAlignment="1">
      <alignment horizontal="center"/>
    </xf>
    <xf numFmtId="0" fontId="41" fillId="21" borderId="41" xfId="0" applyFont="1" applyFill="1" applyBorder="1" applyAlignment="1">
      <alignment horizontal="center"/>
    </xf>
    <xf numFmtId="0" fontId="42" fillId="0" borderId="0" xfId="0" applyFont="1"/>
    <xf numFmtId="0" fontId="2" fillId="18" borderId="0" xfId="0" applyFont="1" applyFill="1" applyAlignment="1">
      <alignment horizontal="center"/>
    </xf>
    <xf numFmtId="10" fontId="3" fillId="0" borderId="0" xfId="0" applyNumberFormat="1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7" fillId="0" borderId="5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/>
    </xf>
    <xf numFmtId="0" fontId="7" fillId="18" borderId="0" xfId="0" applyFont="1" applyFill="1" applyAlignment="1">
      <alignment horizontal="center"/>
    </xf>
    <xf numFmtId="17" fontId="3" fillId="13" borderId="0" xfId="0" applyNumberFormat="1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41" fillId="21" borderId="42" xfId="0" applyFont="1" applyFill="1" applyBorder="1" applyAlignment="1">
      <alignment horizontal="center"/>
    </xf>
    <xf numFmtId="2" fontId="2" fillId="2" borderId="0" xfId="0" applyNumberFormat="1" applyFont="1" applyFill="1" applyAlignment="1">
      <alignment horizontal="center"/>
    </xf>
    <xf numFmtId="0" fontId="12" fillId="21" borderId="10" xfId="0" applyFont="1" applyFill="1" applyBorder="1" applyAlignment="1">
      <alignment horizontal="center"/>
    </xf>
    <xf numFmtId="49" fontId="16" fillId="21" borderId="18" xfId="0" applyNumberFormat="1" applyFont="1" applyFill="1" applyBorder="1" applyAlignment="1">
      <alignment horizontal="center"/>
    </xf>
    <xf numFmtId="49" fontId="16" fillId="21" borderId="19" xfId="0" applyNumberFormat="1" applyFont="1" applyFill="1" applyBorder="1" applyAlignment="1">
      <alignment horizontal="center"/>
    </xf>
    <xf numFmtId="0" fontId="3" fillId="21" borderId="19" xfId="0" applyFont="1" applyFill="1" applyBorder="1" applyAlignment="1">
      <alignment horizontal="center"/>
    </xf>
    <xf numFmtId="0" fontId="3" fillId="21" borderId="19" xfId="0" applyFont="1" applyFill="1" applyBorder="1"/>
    <xf numFmtId="16" fontId="3" fillId="21" borderId="19" xfId="0" applyNumberFormat="1" applyFont="1" applyFill="1" applyBorder="1" applyAlignment="1">
      <alignment horizontal="center"/>
    </xf>
    <xf numFmtId="14" fontId="12" fillId="21" borderId="19" xfId="0" applyNumberFormat="1" applyFont="1" applyFill="1" applyBorder="1" applyAlignment="1">
      <alignment horizontal="center"/>
    </xf>
    <xf numFmtId="0" fontId="12" fillId="21" borderId="19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7" xfId="0" applyBorder="1"/>
    <xf numFmtId="0" fontId="0" fillId="16" borderId="27" xfId="0" applyFill="1" applyBorder="1"/>
    <xf numFmtId="0" fontId="0" fillId="10" borderId="27" xfId="0" applyFill="1" applyBorder="1" applyAlignment="1">
      <alignment horizontal="center"/>
    </xf>
    <xf numFmtId="0" fontId="0" fillId="25" borderId="27" xfId="0" applyFill="1" applyBorder="1" applyAlignment="1">
      <alignment horizontal="center"/>
    </xf>
    <xf numFmtId="0" fontId="0" fillId="16" borderId="10" xfId="0" applyFill="1" applyBorder="1"/>
    <xf numFmtId="17" fontId="2" fillId="0" borderId="0" xfId="0" applyNumberFormat="1" applyFont="1" applyAlignment="1">
      <alignment horizontal="center"/>
    </xf>
    <xf numFmtId="0" fontId="3" fillId="18" borderId="0" xfId="0" applyFont="1" applyFill="1"/>
    <xf numFmtId="0" fontId="41" fillId="21" borderId="26" xfId="0" applyFont="1" applyFill="1" applyBorder="1" applyAlignment="1">
      <alignment horizontal="center"/>
    </xf>
    <xf numFmtId="0" fontId="31" fillId="0" borderId="0" xfId="0" applyFont="1"/>
    <xf numFmtId="0" fontId="3" fillId="0" borderId="0" xfId="0" quotePrefix="1" applyFont="1" applyAlignment="1">
      <alignment horizontal="center" vertical="center"/>
    </xf>
    <xf numFmtId="0" fontId="3" fillId="0" borderId="0" xfId="0" quotePrefix="1" applyFont="1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center" vertical="center"/>
    </xf>
    <xf numFmtId="17" fontId="3" fillId="13" borderId="0" xfId="0" applyNumberFormat="1" applyFont="1" applyFill="1"/>
    <xf numFmtId="14" fontId="7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46" fillId="0" borderId="0" xfId="0" applyFont="1" applyAlignment="1">
      <alignment horizontal="center"/>
    </xf>
    <xf numFmtId="0" fontId="5" fillId="25" borderId="55" xfId="0" applyFont="1" applyFill="1" applyBorder="1" applyAlignment="1">
      <alignment horizontal="center"/>
    </xf>
    <xf numFmtId="0" fontId="5" fillId="25" borderId="61" xfId="0" applyFont="1" applyFill="1" applyBorder="1" applyAlignment="1">
      <alignment horizontal="center"/>
    </xf>
    <xf numFmtId="49" fontId="16" fillId="0" borderId="16" xfId="0" applyNumberFormat="1" applyFont="1" applyBorder="1" applyAlignment="1">
      <alignment horizontal="center"/>
    </xf>
    <xf numFmtId="0" fontId="0" fillId="0" borderId="10" xfId="0" applyBorder="1" applyAlignment="1">
      <alignment horizontal="center" vertical="top"/>
    </xf>
    <xf numFmtId="0" fontId="43" fillId="0" borderId="10" xfId="0" applyFont="1" applyBorder="1" applyAlignment="1">
      <alignment horizontal="left"/>
    </xf>
    <xf numFmtId="0" fontId="3" fillId="0" borderId="10" xfId="0" applyFont="1" applyBorder="1"/>
    <xf numFmtId="16" fontId="3" fillId="0" borderId="10" xfId="0" applyNumberFormat="1" applyFont="1" applyBorder="1" applyAlignment="1">
      <alignment horizontal="center"/>
    </xf>
    <xf numFmtId="14" fontId="12" fillId="0" borderId="10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44" fillId="0" borderId="10" xfId="0" applyFont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1" fontId="5" fillId="25" borderId="58" xfId="0" applyNumberFormat="1" applyFont="1" applyFill="1" applyBorder="1" applyAlignment="1">
      <alignment horizontal="center"/>
    </xf>
    <xf numFmtId="1" fontId="5" fillId="25" borderId="60" xfId="0" applyNumberFormat="1" applyFont="1" applyFill="1" applyBorder="1" applyAlignment="1">
      <alignment horizontal="center"/>
    </xf>
    <xf numFmtId="1" fontId="3" fillId="25" borderId="60" xfId="0" applyNumberFormat="1" applyFont="1" applyFill="1" applyBorder="1" applyAlignment="1">
      <alignment horizontal="center"/>
    </xf>
    <xf numFmtId="0" fontId="47" fillId="26" borderId="0" xfId="0" applyFont="1" applyFill="1" applyAlignment="1">
      <alignment horizontal="left" vertical="top" wrapText="1" readingOrder="1"/>
    </xf>
    <xf numFmtId="0" fontId="50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  <xf numFmtId="14" fontId="0" fillId="0" borderId="0" xfId="0" applyNumberFormat="1"/>
    <xf numFmtId="0" fontId="0" fillId="0" borderId="0" xfId="0" applyAlignment="1">
      <alignment horizontal="left" vertical="center"/>
    </xf>
    <xf numFmtId="0" fontId="0" fillId="10" borderId="10" xfId="0" applyFill="1" applyBorder="1" applyAlignment="1">
      <alignment horizontal="center"/>
    </xf>
    <xf numFmtId="0" fontId="39" fillId="0" borderId="0" xfId="0" applyFont="1" applyAlignment="1">
      <alignment horizontal="center" vertical="center"/>
    </xf>
    <xf numFmtId="169" fontId="3" fillId="0" borderId="0" xfId="0" applyNumberFormat="1" applyFont="1" applyAlignment="1">
      <alignment horizontal="center" vertical="center"/>
    </xf>
    <xf numFmtId="169" fontId="3" fillId="20" borderId="0" xfId="0" applyNumberFormat="1" applyFont="1" applyFill="1" applyAlignment="1">
      <alignment horizontal="center" vertical="center"/>
    </xf>
    <xf numFmtId="0" fontId="31" fillId="0" borderId="0" xfId="0" quotePrefix="1" applyFont="1"/>
    <xf numFmtId="168" fontId="3" fillId="0" borderId="0" xfId="0" applyNumberFormat="1" applyFont="1"/>
    <xf numFmtId="0" fontId="17" fillId="0" borderId="0" xfId="0" quotePrefix="1" applyFont="1" applyAlignment="1">
      <alignment horizontal="left" vertical="center"/>
    </xf>
    <xf numFmtId="49" fontId="16" fillId="0" borderId="16" xfId="0" applyNumberFormat="1" applyFont="1" applyBorder="1" applyAlignment="1" applyProtection="1">
      <alignment horizontal="center"/>
      <protection locked="0"/>
    </xf>
    <xf numFmtId="49" fontId="19" fillId="0" borderId="0" xfId="0" applyNumberFormat="1" applyFont="1" applyAlignment="1">
      <alignment horizontal="center"/>
    </xf>
    <xf numFmtId="49" fontId="0" fillId="0" borderId="0" xfId="0" applyNumberFormat="1"/>
    <xf numFmtId="0" fontId="19" fillId="0" borderId="0" xfId="0" applyFont="1" applyAlignment="1">
      <alignment horizontal="center" vertical="top"/>
    </xf>
    <xf numFmtId="0" fontId="16" fillId="0" borderId="0" xfId="0" applyFont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38" fillId="0" borderId="0" xfId="0" applyFont="1" applyAlignment="1">
      <alignment horizontal="center" vertical="center"/>
    </xf>
    <xf numFmtId="0" fontId="38" fillId="0" borderId="0" xfId="0" applyFont="1" applyAlignment="1">
      <alignment horizontal="center"/>
    </xf>
    <xf numFmtId="0" fontId="38" fillId="0" borderId="0" xfId="0" applyFont="1"/>
    <xf numFmtId="0" fontId="38" fillId="0" borderId="0" xfId="0" applyFont="1" applyAlignment="1">
      <alignment wrapText="1"/>
    </xf>
    <xf numFmtId="14" fontId="38" fillId="0" borderId="0" xfId="0" applyNumberFormat="1" applyFont="1" applyAlignment="1">
      <alignment horizontal="center" vertical="center"/>
    </xf>
    <xf numFmtId="14" fontId="51" fillId="27" borderId="10" xfId="0" applyNumberFormat="1" applyFont="1" applyFill="1" applyBorder="1" applyAlignment="1">
      <alignment horizontal="center"/>
    </xf>
    <xf numFmtId="0" fontId="0" fillId="27" borderId="0" xfId="0" applyFill="1"/>
    <xf numFmtId="0" fontId="52" fillId="25" borderId="59" xfId="0" applyFont="1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53" fillId="25" borderId="59" xfId="0" applyFont="1" applyFill="1" applyBorder="1" applyAlignment="1">
      <alignment horizontal="center"/>
    </xf>
    <xf numFmtId="0" fontId="54" fillId="25" borderId="59" xfId="0" applyFont="1" applyFill="1" applyBorder="1" applyAlignment="1">
      <alignment horizontal="center"/>
    </xf>
    <xf numFmtId="0" fontId="2" fillId="28" borderId="0" xfId="0" applyFont="1" applyFill="1" applyAlignment="1">
      <alignment horizontal="left" vertical="center" wrapText="1"/>
    </xf>
    <xf numFmtId="0" fontId="17" fillId="28" borderId="0" xfId="0" applyFont="1" applyFill="1" applyAlignment="1">
      <alignment vertical="center"/>
    </xf>
    <xf numFmtId="0" fontId="17" fillId="28" borderId="0" xfId="0" applyFont="1" applyFill="1" applyAlignment="1">
      <alignment vertical="center" wrapText="1"/>
    </xf>
    <xf numFmtId="1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vertical="top"/>
    </xf>
    <xf numFmtId="0" fontId="0" fillId="0" borderId="0" xfId="0" pivotButton="1"/>
    <xf numFmtId="0" fontId="0" fillId="0" borderId="0" xfId="0" applyAlignment="1">
      <alignment horizontal="left"/>
    </xf>
    <xf numFmtId="46" fontId="0" fillId="0" borderId="0" xfId="0" applyNumberFormat="1"/>
    <xf numFmtId="0" fontId="31" fillId="14" borderId="27" xfId="0" applyFont="1" applyFill="1" applyBorder="1" applyAlignment="1">
      <alignment horizontal="center"/>
    </xf>
    <xf numFmtId="169" fontId="3" fillId="29" borderId="0" xfId="0" applyNumberFormat="1" applyFont="1" applyFill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/>
    </xf>
    <xf numFmtId="0" fontId="55" fillId="20" borderId="0" xfId="0" applyFont="1" applyFill="1" applyAlignment="1">
      <alignment horizontal="center" vertical="center"/>
    </xf>
    <xf numFmtId="0" fontId="56" fillId="20" borderId="0" xfId="0" applyFont="1" applyFill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7" fillId="20" borderId="0" xfId="0" applyFont="1" applyFill="1" applyAlignment="1">
      <alignment horizontal="center" vertical="center"/>
    </xf>
    <xf numFmtId="0" fontId="57" fillId="0" borderId="0" xfId="0" applyFont="1" applyAlignment="1">
      <alignment horizontal="center"/>
    </xf>
    <xf numFmtId="0" fontId="5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4" fontId="0" fillId="0" borderId="36" xfId="0" applyNumberFormat="1" applyBorder="1" applyAlignment="1">
      <alignment horizontal="right" vertical="top"/>
    </xf>
    <xf numFmtId="0" fontId="0" fillId="0" borderId="36" xfId="0" applyBorder="1" applyAlignment="1">
      <alignment vertical="top"/>
    </xf>
    <xf numFmtId="0" fontId="16" fillId="0" borderId="6" xfId="0" applyFont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37" fillId="0" borderId="36" xfId="3" applyNumberFormat="1" applyFont="1" applyBorder="1" applyAlignment="1">
      <alignment horizontal="right" vertical="top"/>
    </xf>
    <xf numFmtId="0" fontId="37" fillId="21" borderId="36" xfId="3" applyFont="1" applyFill="1" applyBorder="1" applyAlignment="1">
      <alignment horizontal="center" vertical="top"/>
    </xf>
    <xf numFmtId="0" fontId="37" fillId="0" borderId="36" xfId="3" applyFont="1" applyBorder="1" applyAlignment="1">
      <alignment vertical="top"/>
    </xf>
    <xf numFmtId="14" fontId="37" fillId="0" borderId="6" xfId="3" applyNumberFormat="1" applyFont="1" applyBorder="1" applyAlignment="1">
      <alignment horizontal="right" vertical="top"/>
    </xf>
    <xf numFmtId="0" fontId="37" fillId="21" borderId="6" xfId="3" applyFont="1" applyFill="1" applyBorder="1" applyAlignment="1">
      <alignment horizontal="center" vertical="top"/>
    </xf>
    <xf numFmtId="0" fontId="37" fillId="0" borderId="6" xfId="3" applyFont="1" applyBorder="1" applyAlignment="1">
      <alignment vertical="top"/>
    </xf>
    <xf numFmtId="0" fontId="37" fillId="0" borderId="36" xfId="3" applyFont="1" applyBorder="1" applyAlignment="1">
      <alignment horizontal="center" vertical="top"/>
    </xf>
    <xf numFmtId="0" fontId="37" fillId="0" borderId="6" xfId="3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36" xfId="0" applyBorder="1" applyAlignment="1">
      <alignment horizontal="center" vertical="top"/>
    </xf>
    <xf numFmtId="0" fontId="16" fillId="0" borderId="36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6" xfId="0" applyFont="1" applyBorder="1" applyAlignment="1">
      <alignment horizontal="center" vertical="top"/>
    </xf>
    <xf numFmtId="14" fontId="19" fillId="0" borderId="0" xfId="0" applyNumberFormat="1" applyFont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40" fillId="10" borderId="10" xfId="0" applyFont="1" applyFill="1" applyBorder="1" applyAlignment="1">
      <alignment horizontal="center"/>
    </xf>
    <xf numFmtId="0" fontId="50" fillId="0" borderId="0" xfId="0" applyFont="1" applyAlignment="1">
      <alignment vertical="top"/>
    </xf>
    <xf numFmtId="171" fontId="50" fillId="0" borderId="0" xfId="0" applyNumberFormat="1" applyFont="1" applyAlignment="1">
      <alignment horizontal="left" vertical="top"/>
    </xf>
    <xf numFmtId="171" fontId="50" fillId="0" borderId="0" xfId="0" applyNumberFormat="1" applyFont="1" applyAlignment="1">
      <alignment vertical="top"/>
    </xf>
    <xf numFmtId="0" fontId="38" fillId="0" borderId="0" xfId="0" applyFont="1" applyAlignment="1">
      <alignment vertical="top"/>
    </xf>
    <xf numFmtId="0" fontId="0" fillId="0" borderId="0" xfId="0" applyAlignment="1">
      <alignment vertical="center" wrapText="1"/>
    </xf>
    <xf numFmtId="0" fontId="0" fillId="0" borderId="36" xfId="0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3" fillId="29" borderId="0" xfId="0" applyFont="1" applyFill="1" applyAlignment="1">
      <alignment horizontal="center"/>
    </xf>
    <xf numFmtId="0" fontId="17" fillId="29" borderId="0" xfId="0" applyFont="1" applyFill="1" applyAlignment="1">
      <alignment horizontal="center" vertical="center"/>
    </xf>
    <xf numFmtId="0" fontId="55" fillId="29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7" fillId="2" borderId="0" xfId="0" quotePrefix="1" applyFont="1" applyFill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57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169" fontId="3" fillId="2" borderId="0" xfId="0" applyNumberFormat="1" applyFont="1" applyFill="1" applyAlignment="1">
      <alignment horizontal="center" vertical="center"/>
    </xf>
    <xf numFmtId="0" fontId="46" fillId="20" borderId="0" xfId="0" applyFont="1" applyFill="1" applyAlignment="1">
      <alignment horizontal="center" vertical="center"/>
    </xf>
    <xf numFmtId="0" fontId="58" fillId="2" borderId="0" xfId="0" applyFont="1" applyFill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20" borderId="0" xfId="0" applyFont="1" applyFill="1" applyAlignment="1">
      <alignment horizontal="center" vertical="center"/>
    </xf>
    <xf numFmtId="0" fontId="59" fillId="0" borderId="0" xfId="0" applyFont="1" applyAlignment="1">
      <alignment horizontal="left" vertical="top"/>
    </xf>
    <xf numFmtId="171" fontId="59" fillId="0" borderId="0" xfId="0" applyNumberFormat="1" applyFont="1" applyAlignment="1">
      <alignment horizontal="left" vertical="top"/>
    </xf>
    <xf numFmtId="0" fontId="59" fillId="0" borderId="0" xfId="0" applyFont="1" applyAlignment="1">
      <alignment vertical="top"/>
    </xf>
    <xf numFmtId="171" fontId="59" fillId="0" borderId="0" xfId="0" applyNumberFormat="1" applyFont="1" applyAlignment="1">
      <alignment vertical="top"/>
    </xf>
    <xf numFmtId="0" fontId="13" fillId="17" borderId="43" xfId="0" applyFont="1" applyFill="1" applyBorder="1" applyAlignment="1">
      <alignment horizontal="left"/>
    </xf>
    <xf numFmtId="0" fontId="13" fillId="17" borderId="36" xfId="0" applyFont="1" applyFill="1" applyBorder="1" applyAlignment="1">
      <alignment horizontal="left"/>
    </xf>
    <xf numFmtId="0" fontId="20" fillId="19" borderId="8" xfId="0" applyFont="1" applyFill="1" applyBorder="1" applyAlignment="1">
      <alignment horizontal="left"/>
    </xf>
    <xf numFmtId="0" fontId="20" fillId="19" borderId="6" xfId="0" applyFont="1" applyFill="1" applyBorder="1" applyAlignment="1">
      <alignment horizontal="left"/>
    </xf>
    <xf numFmtId="0" fontId="20" fillId="19" borderId="9" xfId="0" applyFont="1" applyFill="1" applyBorder="1" applyAlignment="1">
      <alignment horizontal="left"/>
    </xf>
    <xf numFmtId="0" fontId="20" fillId="19" borderId="5" xfId="0" applyFont="1" applyFill="1" applyBorder="1" applyAlignment="1">
      <alignment horizontal="left"/>
    </xf>
    <xf numFmtId="0" fontId="20" fillId="19" borderId="12" xfId="0" applyFont="1" applyFill="1" applyBorder="1" applyAlignment="1">
      <alignment horizontal="left"/>
    </xf>
    <xf numFmtId="10" fontId="3" fillId="0" borderId="9" xfId="2" applyNumberFormat="1" applyFont="1" applyBorder="1" applyAlignment="1">
      <alignment horizontal="right"/>
    </xf>
    <xf numFmtId="10" fontId="3" fillId="0" borderId="12" xfId="2" applyNumberFormat="1" applyFont="1" applyBorder="1" applyAlignment="1">
      <alignment horizontal="right"/>
    </xf>
    <xf numFmtId="164" fontId="3" fillId="0" borderId="9" xfId="0" applyNumberFormat="1" applyFont="1" applyBorder="1" applyAlignment="1">
      <alignment horizontal="center"/>
    </xf>
    <xf numFmtId="164" fontId="3" fillId="0" borderId="12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13" fillId="13" borderId="9" xfId="0" applyFont="1" applyFill="1" applyBorder="1" applyAlignment="1">
      <alignment horizontal="center"/>
    </xf>
    <xf numFmtId="0" fontId="13" fillId="13" borderId="5" xfId="0" applyFont="1" applyFill="1" applyBorder="1" applyAlignment="1">
      <alignment horizontal="center"/>
    </xf>
    <xf numFmtId="0" fontId="13" fillId="13" borderId="12" xfId="0" applyFont="1" applyFill="1" applyBorder="1" applyAlignment="1">
      <alignment horizontal="center"/>
    </xf>
    <xf numFmtId="0" fontId="13" fillId="2" borderId="0" xfId="0" applyFont="1" applyFill="1" applyAlignment="1">
      <alignment horizontal="left"/>
    </xf>
    <xf numFmtId="0" fontId="22" fillId="9" borderId="9" xfId="0" applyFont="1" applyFill="1" applyBorder="1" applyAlignment="1">
      <alignment horizontal="center"/>
    </xf>
    <xf numFmtId="0" fontId="22" fillId="9" borderId="5" xfId="0" applyFont="1" applyFill="1" applyBorder="1" applyAlignment="1">
      <alignment horizontal="center"/>
    </xf>
    <xf numFmtId="0" fontId="22" fillId="9" borderId="12" xfId="0" applyFont="1" applyFill="1" applyBorder="1" applyAlignment="1">
      <alignment horizontal="center"/>
    </xf>
    <xf numFmtId="0" fontId="13" fillId="2" borderId="23" xfId="0" applyFont="1" applyFill="1" applyBorder="1" applyAlignment="1">
      <alignment horizontal="left"/>
    </xf>
    <xf numFmtId="0" fontId="22" fillId="9" borderId="43" xfId="0" applyFont="1" applyFill="1" applyBorder="1" applyAlignment="1">
      <alignment horizontal="left"/>
    </xf>
    <xf numFmtId="0" fontId="22" fillId="9" borderId="36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3" fillId="0" borderId="42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20" fillId="19" borderId="9" xfId="0" applyFont="1" applyFill="1" applyBorder="1" applyAlignment="1">
      <alignment horizontal="center"/>
    </xf>
    <xf numFmtId="0" fontId="20" fillId="19" borderId="5" xfId="0" applyFont="1" applyFill="1" applyBorder="1" applyAlignment="1">
      <alignment horizontal="center"/>
    </xf>
    <xf numFmtId="0" fontId="20" fillId="19" borderId="12" xfId="0" applyFont="1" applyFill="1" applyBorder="1" applyAlignment="1">
      <alignment horizont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20" fillId="19" borderId="2" xfId="0" applyFont="1" applyFill="1" applyBorder="1" applyAlignment="1">
      <alignment horizontal="center"/>
    </xf>
    <xf numFmtId="0" fontId="20" fillId="19" borderId="3" xfId="0" applyFont="1" applyFill="1" applyBorder="1" applyAlignment="1">
      <alignment horizontal="center"/>
    </xf>
    <xf numFmtId="0" fontId="20" fillId="19" borderId="4" xfId="0" applyFont="1" applyFill="1" applyBorder="1" applyAlignment="1">
      <alignment horizontal="center"/>
    </xf>
    <xf numFmtId="164" fontId="5" fillId="0" borderId="9" xfId="1" applyFont="1" applyFill="1" applyBorder="1" applyAlignment="1">
      <alignment horizontal="center"/>
    </xf>
    <xf numFmtId="164" fontId="5" fillId="0" borderId="12" xfId="1" applyFont="1" applyFill="1" applyBorder="1" applyAlignment="1">
      <alignment horizontal="center"/>
    </xf>
    <xf numFmtId="0" fontId="20" fillId="19" borderId="43" xfId="0" applyFont="1" applyFill="1" applyBorder="1" applyAlignment="1">
      <alignment horizontal="left"/>
    </xf>
    <xf numFmtId="0" fontId="20" fillId="19" borderId="36" xfId="0" applyFont="1" applyFill="1" applyBorder="1" applyAlignment="1">
      <alignment horizontal="left"/>
    </xf>
    <xf numFmtId="164" fontId="6" fillId="0" borderId="9" xfId="0" applyNumberFormat="1" applyFont="1" applyBorder="1" applyAlignment="1">
      <alignment horizontal="center"/>
    </xf>
    <xf numFmtId="164" fontId="6" fillId="0" borderId="12" xfId="0" applyNumberFormat="1" applyFont="1" applyBorder="1" applyAlignment="1">
      <alignment horizontal="center"/>
    </xf>
    <xf numFmtId="0" fontId="20" fillId="19" borderId="23" xfId="0" applyFont="1" applyFill="1" applyBorder="1" applyAlignment="1">
      <alignment horizontal="left"/>
    </xf>
    <xf numFmtId="0" fontId="20" fillId="19" borderId="0" xfId="0" applyFont="1" applyFill="1" applyAlignment="1">
      <alignment horizontal="left"/>
    </xf>
    <xf numFmtId="0" fontId="5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22" fillId="9" borderId="8" xfId="0" applyFont="1" applyFill="1" applyBorder="1" applyAlignment="1">
      <alignment horizontal="left"/>
    </xf>
    <xf numFmtId="0" fontId="22" fillId="9" borderId="6" xfId="0" applyFont="1" applyFill="1" applyBorder="1" applyAlignment="1">
      <alignment horizontal="left"/>
    </xf>
    <xf numFmtId="0" fontId="13" fillId="13" borderId="43" xfId="0" applyFont="1" applyFill="1" applyBorder="1" applyAlignment="1">
      <alignment horizontal="left"/>
    </xf>
    <xf numFmtId="0" fontId="13" fillId="13" borderId="36" xfId="0" applyFont="1" applyFill="1" applyBorder="1" applyAlignment="1">
      <alignment horizontal="left"/>
    </xf>
    <xf numFmtId="0" fontId="5" fillId="13" borderId="34" xfId="0" applyFont="1" applyFill="1" applyBorder="1" applyAlignment="1">
      <alignment horizontal="left"/>
    </xf>
    <xf numFmtId="0" fontId="5" fillId="13" borderId="35" xfId="0" applyFont="1" applyFill="1" applyBorder="1" applyAlignment="1">
      <alignment horizontal="left"/>
    </xf>
    <xf numFmtId="0" fontId="5" fillId="13" borderId="40" xfId="0" applyFont="1" applyFill="1" applyBorder="1" applyAlignment="1">
      <alignment horizontal="left"/>
    </xf>
    <xf numFmtId="0" fontId="14" fillId="9" borderId="34" xfId="0" applyFont="1" applyFill="1" applyBorder="1" applyAlignment="1">
      <alignment horizontal="left"/>
    </xf>
    <xf numFmtId="0" fontId="14" fillId="9" borderId="35" xfId="0" applyFont="1" applyFill="1" applyBorder="1" applyAlignment="1">
      <alignment horizontal="left"/>
    </xf>
    <xf numFmtId="0" fontId="14" fillId="9" borderId="40" xfId="0" applyFont="1" applyFill="1" applyBorder="1" applyAlignment="1">
      <alignment horizontal="left"/>
    </xf>
    <xf numFmtId="0" fontId="8" fillId="12" borderId="0" xfId="0" applyFont="1" applyFill="1" applyAlignment="1">
      <alignment horizontal="center"/>
    </xf>
    <xf numFmtId="10" fontId="8" fillId="12" borderId="0" xfId="0" applyNumberFormat="1" applyFont="1" applyFill="1" applyAlignment="1">
      <alignment horizontal="center"/>
    </xf>
    <xf numFmtId="0" fontId="23" fillId="0" borderId="50" xfId="0" applyFont="1" applyBorder="1" applyAlignment="1">
      <alignment horizontal="center" textRotation="255"/>
    </xf>
    <xf numFmtId="0" fontId="23" fillId="0" borderId="24" xfId="0" applyFont="1" applyBorder="1" applyAlignment="1">
      <alignment horizontal="center" textRotation="255"/>
    </xf>
    <xf numFmtId="0" fontId="0" fillId="0" borderId="30" xfId="0" applyBorder="1" applyAlignment="1">
      <alignment horizontal="center"/>
    </xf>
    <xf numFmtId="0" fontId="0" fillId="0" borderId="10" xfId="0" applyBorder="1" applyAlignment="1">
      <alignment horizontal="center"/>
    </xf>
    <xf numFmtId="0" fontId="24" fillId="0" borderId="43" xfId="0" applyFont="1" applyBorder="1" applyAlignment="1">
      <alignment horizontal="center" vertical="center" textRotation="255"/>
    </xf>
    <xf numFmtId="0" fontId="24" fillId="0" borderId="23" xfId="0" applyFont="1" applyBorder="1" applyAlignment="1">
      <alignment horizontal="center" vertical="center" textRotation="255"/>
    </xf>
    <xf numFmtId="0" fontId="24" fillId="0" borderId="8" xfId="0" applyFont="1" applyBorder="1" applyAlignment="1">
      <alignment horizontal="center" vertical="center" textRotation="255"/>
    </xf>
    <xf numFmtId="0" fontId="0" fillId="0" borderId="10" xfId="0" applyBorder="1" applyAlignment="1">
      <alignment horizontal="center" vertical="center"/>
    </xf>
    <xf numFmtId="0" fontId="18" fillId="0" borderId="71" xfId="0" applyFont="1" applyBorder="1" applyAlignment="1">
      <alignment horizontal="center" vertical="center" textRotation="255"/>
    </xf>
    <xf numFmtId="0" fontId="18" fillId="0" borderId="0" xfId="0" applyFont="1" applyAlignment="1">
      <alignment horizontal="center" vertical="center" textRotation="255"/>
    </xf>
    <xf numFmtId="0" fontId="35" fillId="0" borderId="36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36" xfId="0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6" fillId="0" borderId="6" xfId="0" applyFont="1" applyBorder="1" applyAlignment="1">
      <alignment horizontal="center" vertical="center" wrapText="1"/>
    </xf>
    <xf numFmtId="0" fontId="35" fillId="0" borderId="36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6" fillId="0" borderId="36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vertical="center"/>
    </xf>
    <xf numFmtId="0" fontId="45" fillId="0" borderId="36" xfId="0" applyFont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6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0" borderId="71" xfId="0" applyFont="1" applyBorder="1" applyAlignment="1">
      <alignment horizontal="center" vertical="center" textRotation="255"/>
    </xf>
    <xf numFmtId="0" fontId="34" fillId="0" borderId="0" xfId="0" applyFont="1" applyAlignment="1">
      <alignment horizontal="center" vertical="center" textRotation="255"/>
    </xf>
    <xf numFmtId="0" fontId="34" fillId="0" borderId="6" xfId="0" applyFont="1" applyBorder="1" applyAlignment="1">
      <alignment horizontal="center" vertical="center" textRotation="255"/>
    </xf>
    <xf numFmtId="0" fontId="3" fillId="0" borderId="5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0" fontId="48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/>
    </xf>
  </cellXfs>
  <cellStyles count="11">
    <cellStyle name="Moneda" xfId="1" builtinId="4"/>
    <cellStyle name="Moneda 2" xfId="5" xr:uid="{00000000-0005-0000-0000-000001000000}"/>
    <cellStyle name="Moneda 2 2" xfId="8" xr:uid="{00000000-0005-0000-0000-000002000000}"/>
    <cellStyle name="Moneda 2 3" xfId="10" xr:uid="{00000000-0005-0000-0000-000003000000}"/>
    <cellStyle name="Moneda 3" xfId="9" xr:uid="{00000000-0005-0000-0000-000004000000}"/>
    <cellStyle name="Normal" xfId="0" builtinId="0"/>
    <cellStyle name="Normal 2" xfId="4" xr:uid="{00000000-0005-0000-0000-000006000000}"/>
    <cellStyle name="Normal 2 2" xfId="6" xr:uid="{00000000-0005-0000-0000-000007000000}"/>
    <cellStyle name="Normal 3" xfId="7" xr:uid="{00000000-0005-0000-0000-000008000000}"/>
    <cellStyle name="Normal 3 2" xfId="3" xr:uid="{00000000-0005-0000-0000-000009000000}"/>
    <cellStyle name="Porcentaje" xfId="2" builtinId="5"/>
  </cellStyles>
  <dxfs count="2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9</xdr:col>
      <xdr:colOff>0</xdr:colOff>
      <xdr:row>4</xdr:row>
      <xdr:rowOff>57671</xdr:rowOff>
    </xdr:to>
    <xdr:pic>
      <xdr:nvPicPr>
        <xdr:cNvPr id="2" name="Imagen 2" descr="cid:image002.png@01D32667.182D864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0"/>
          <a:ext cx="3305175" cy="794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9</xdr:col>
      <xdr:colOff>0</xdr:colOff>
      <xdr:row>4</xdr:row>
      <xdr:rowOff>57671</xdr:rowOff>
    </xdr:to>
    <xdr:pic>
      <xdr:nvPicPr>
        <xdr:cNvPr id="3" name="Imagen 2" descr="cid:image002.png@01D32667.182D8640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5625" y="0"/>
          <a:ext cx="2524125" cy="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9</xdr:col>
      <xdr:colOff>0</xdr:colOff>
      <xdr:row>4</xdr:row>
      <xdr:rowOff>57671</xdr:rowOff>
    </xdr:to>
    <xdr:pic>
      <xdr:nvPicPr>
        <xdr:cNvPr id="4" name="Imagen 2" descr="cid:image002.png@01D32667.182D8640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0"/>
          <a:ext cx="2600325" cy="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0</xdr:colOff>
      <xdr:row>0</xdr:row>
      <xdr:rowOff>0</xdr:rowOff>
    </xdr:from>
    <xdr:to>
      <xdr:col>9</xdr:col>
      <xdr:colOff>0</xdr:colOff>
      <xdr:row>4</xdr:row>
      <xdr:rowOff>57671</xdr:rowOff>
    </xdr:to>
    <xdr:pic>
      <xdr:nvPicPr>
        <xdr:cNvPr id="5" name="Imagen 4" descr="cid:image002.png@01D32667.182D8640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0"/>
          <a:ext cx="2600325" cy="6672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or" refreshedDate="46036.538948263886" createdVersion="8" refreshedVersion="8" minRefreshableVersion="3" recordCount="487" xr:uid="{00000000-000A-0000-FFFF-FFFF00000000}">
  <cacheSource type="worksheet">
    <worksheetSource ref="A3:F243" sheet="Digicard"/>
  </cacheSource>
  <cacheFields count="6">
    <cacheField name="Legajo" numFmtId="0">
      <sharedItems/>
    </cacheField>
    <cacheField name="Empleado" numFmtId="0">
      <sharedItems count="9">
        <s v="AQUINO CLEMENTE"/>
        <s v="AREVALOS OSCAR"/>
        <s v="CACERES OSCAR"/>
        <s v="DAVALOS CESAR"/>
        <s v="MARTINEZ MAXIMILIANO"/>
        <s v="PEREYRA BRUNO"/>
        <s v="TESARI HECTOR"/>
        <s v="DUARTE ANTONIO"/>
        <s v="WORONOWICZ GERARDO"/>
      </sharedItems>
    </cacheField>
    <cacheField name="Entrada" numFmtId="0">
      <sharedItems containsNonDate="0" containsDate="1" containsString="0" containsBlank="1" minDate="2025-12-01T06:07:00" maxDate="2025-12-31T12:00:00"/>
    </cacheField>
    <cacheField name="Salida" numFmtId="0">
      <sharedItems containsNonDate="0" containsDate="1" containsString="0" containsBlank="1" minDate="2025-12-01T06:18:00" maxDate="2025-12-31T15:37:00"/>
    </cacheField>
    <cacheField name="TotalHs" numFmtId="46">
      <sharedItems containsSemiMixedTypes="0" containsNonDate="0" containsDate="1" containsString="0" minDate="1899-12-30T00:00:00" maxDate="1899-12-31T00:00:00" count="182">
        <d v="1899-12-30T00:00:00"/>
        <d v="1899-12-30T00:38:00"/>
        <d v="1899-12-30T00:09:00"/>
        <d v="1899-12-30T00:13:00"/>
        <d v="1899-12-30T01:59:00"/>
        <d v="1899-12-30T01:04:00"/>
        <d v="1899-12-30T00:14:00"/>
        <d v="1899-12-30T00:23:00"/>
        <d v="1899-12-30T02:08:00"/>
        <d v="1899-12-30T01:40:00"/>
        <d v="1899-12-30T00:50:00"/>
        <d v="1899-12-30T00:36:00"/>
        <d v="1899-12-30T00:31:00"/>
        <d v="1899-12-30T00:16:00"/>
        <d v="1899-12-30T00:25:00"/>
        <d v="1899-12-30T01:44:00"/>
        <d v="1899-12-30T00:17:00"/>
        <d v="1899-12-30T00:22:00"/>
        <d v="1899-12-30T08:33:00"/>
        <d v="1899-12-30T07:48:00"/>
        <d v="1899-12-30T01:13:00"/>
        <d v="1899-12-30T02:39:00"/>
        <d v="1899-12-30T07:49:00"/>
        <d v="1899-12-30T08:57:00"/>
        <d v="1899-12-30T00:30:00"/>
        <d v="1899-12-30T01:32:00"/>
        <d v="1899-12-30T00:42:00"/>
        <d v="1899-12-30T07:46:00"/>
        <d v="1899-12-30T08:49:00"/>
        <d v="1899-12-30T01:15:00"/>
        <d v="1899-12-30T00:24:00"/>
        <d v="1899-12-30T00:55:00"/>
        <d v="1899-12-30T00:28:00"/>
        <d v="1899-12-30T06:14:00"/>
        <d v="1899-12-30T01:47:00"/>
        <d v="1899-12-30T00:49:00"/>
        <d v="1899-12-30T04:35:00"/>
        <d v="1899-12-30T07:22:00"/>
        <d v="1899-12-30T00:52:00"/>
        <d v="1899-12-30T06:16:00"/>
        <d v="1899-12-30T01:43:00"/>
        <d v="1899-12-30T07:45:00"/>
        <d v="1899-12-30T08:04:00"/>
        <d v="1899-12-30T00:53:00"/>
        <d v="1899-12-30T01:35:00"/>
        <d v="1899-12-30T04:48:00"/>
        <d v="1899-12-30T06:29:00"/>
        <d v="1899-12-30T00:27:00"/>
        <d v="1899-12-30T00:35:00"/>
        <d v="1899-12-30T00:34:00"/>
        <d v="1899-12-30T05:14:00"/>
        <d v="1899-12-30T01:48:00"/>
        <d v="1899-12-30T00:03:00"/>
        <d v="1899-12-30T00:15:00"/>
        <d v="1899-12-30T01:05:00"/>
        <d v="1899-12-30T00:41:00"/>
        <d v="1899-12-30T00:44:00"/>
        <d v="1899-12-30T06:48:00"/>
        <d v="1899-12-30T00:04:00"/>
        <d v="1899-12-30T01:27:00"/>
        <d v="1899-12-30T01:24:00"/>
        <d v="1899-12-30T02:13:00"/>
        <d v="1899-12-30T04:44:00"/>
        <d v="1899-12-30T06:36:00"/>
        <d v="1899-12-30T06:21:00"/>
        <d v="1899-12-30T02:55:00"/>
        <d v="1899-12-30T01:52:00"/>
        <d v="1899-12-30T08:59:00"/>
        <d v="1899-12-30T00:56:00"/>
        <d v="1899-12-30T00:40:00"/>
        <d v="1899-12-30T01:23:00"/>
        <d v="1899-12-30T01:07:00"/>
        <d v="1899-12-30T00:37:00"/>
        <d v="1899-12-30T00:54:00"/>
        <d v="1899-12-30T00:02:00"/>
        <d v="1899-12-30T00:05:00"/>
        <d v="1899-12-30T00:43:00"/>
        <d v="1899-12-30T00:10:00"/>
        <d v="1899-12-30T05:11:00"/>
        <d v="1899-12-30T01:39:00"/>
        <d v="1899-12-30T05:23:00"/>
        <d v="1899-12-30T06:56:00"/>
        <d v="1899-12-30T00:47:00"/>
        <d v="1899-12-30T02:10:00"/>
        <d v="1899-12-30T08:43:00"/>
        <d v="1899-12-30T00:57:00"/>
        <d v="1899-12-30T01:53:00"/>
        <d v="1899-12-30T01:25:00"/>
        <d v="1899-12-30T03:22:00"/>
        <d v="1899-12-30T00:12:00"/>
        <d v="1899-12-30T00:45:00"/>
        <d v="1899-12-30T01:30:00"/>
        <d v="1899-12-30T02:53:00"/>
        <d v="1899-12-30T07:58:00"/>
        <d v="1899-12-30T07:02:00"/>
        <d v="1899-12-30T02:03:00"/>
        <d v="1899-12-30T02:42:00"/>
        <d v="1899-12-30T04:57:00"/>
        <d v="1899-12-30T00:59:00"/>
        <d v="1899-12-30T03:58:00"/>
        <d v="1899-12-30T01:41:00"/>
        <d v="1899-12-30T01:54:00"/>
        <d v="1899-12-30T05:03:00"/>
        <d v="1899-12-30T02:00:00"/>
        <d v="1899-12-30T01:22:00"/>
        <d v="1899-12-30T01:02:00"/>
        <d v="1899-12-30T00:48:00"/>
        <d v="1899-12-30T07:29:00"/>
        <d v="1899-12-30T07:39:00"/>
        <d v="1899-12-30T03:33:00"/>
        <d v="1899-12-30T03:32:00"/>
        <d v="1899-12-30T04:47:00"/>
        <d v="1899-12-30T08:55:00"/>
        <d v="1899-12-30T05:02:00"/>
        <d v="1899-12-30T01:08:00"/>
        <d v="1899-12-30T00:06:00"/>
        <d v="1899-12-30T02:15:00"/>
        <d v="1899-12-30T03:37:00"/>
        <d v="1899-12-30T02:07:00"/>
        <d v="1899-12-30T05:43:00"/>
        <d v="1899-12-30T00:33:00"/>
        <d v="1899-12-30T00:39:00"/>
        <d v="1899-12-30T06:34:00"/>
        <d v="1899-12-30T06:20:00"/>
        <d v="1899-12-30T05:25:00"/>
        <d v="1899-12-30T05:16:00"/>
        <d v="1899-12-30T00:11:00"/>
        <d v="1899-12-30T06:47:00"/>
        <d v="1899-12-30T01:42:00"/>
        <d v="1899-12-30T07:37:00"/>
        <d v="1899-12-30T02:38:00"/>
        <d v="1899-12-30T02:06:00"/>
        <d v="1899-12-30T00:29:00"/>
        <d v="1899-12-30T03:26:00"/>
        <d v="1899-12-30T01:14:00"/>
        <d v="1899-12-30T01:58:00"/>
        <d v="1899-12-30T03:44:00"/>
        <d v="1899-12-30T01:51:00"/>
        <d v="1899-12-30T07:23:00"/>
        <d v="1899-12-30T02:22:00"/>
        <d v="1899-12-30T02:57:00"/>
        <d v="1899-12-30T04:38:00"/>
        <d v="1899-12-30T04:03:00"/>
        <d v="1899-12-30T01:09:00"/>
        <d v="1899-12-30T00:08:00"/>
        <d v="1899-12-30T00:58:00"/>
        <d v="1899-12-30T03:51:00"/>
        <d v="1899-12-30T01:16:00"/>
        <d v="1899-12-30T00:32:00"/>
        <d v="1899-12-30T02:14:00"/>
        <d v="1899-12-30T00:07:00"/>
        <d v="1899-12-30T00:20:00"/>
        <d v="1899-12-30T04:11:00"/>
        <d v="1899-12-30T09:00:00"/>
        <d v="1899-12-30T09:04:00"/>
        <d v="1899-12-30T09:08:00"/>
        <d v="1899-12-30T09:14:00"/>
        <d v="1899-12-30T08:50:00"/>
        <d v="1899-12-30T09:05:00"/>
        <d v="1899-12-30T08:40:00"/>
        <d v="1899-12-30T09:02:00"/>
        <d v="1899-12-30T09:12:00"/>
        <d v="1899-12-30T08:01:00"/>
        <d v="1899-12-30T09:01:00"/>
        <d v="1899-12-30T07:57:00"/>
        <d v="1899-12-30T08:58:00"/>
        <d v="1899-12-30T02:36:00"/>
        <d v="1899-12-30T07:44:00"/>
        <d v="1899-12-30T02:05:00"/>
        <d v="1899-12-30T06:42:00"/>
        <d v="1899-12-30T06:40:00"/>
        <d v="1899-12-30T03:06:00"/>
        <d v="1899-12-30T03:13:00"/>
        <d v="1899-12-30T07:27:00"/>
        <d v="1899-12-30T07:12:00"/>
        <d v="1899-12-30T10:59:00"/>
        <d v="1899-12-30T06:17:00"/>
        <d v="1899-12-30T07:13:00"/>
        <d v="1899-12-30T07:09:00"/>
        <d v="1899-12-30T00:26:00"/>
        <d v="1899-12-30T06:54:00"/>
        <d v="1899-12-30T02:18:00"/>
      </sharedItems>
    </cacheField>
    <cacheField name="Planta" numFmtId="0">
      <sharedItems count="4">
        <s v="Piray"/>
        <s v="Aserradero Bossetti"/>
        <s v="Celulosa"/>
        <s v="ypor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7">
  <r>
    <s v="1-17952130"/>
    <x v="0"/>
    <d v="2025-12-10T08:55:00"/>
    <d v="2025-12-10T08:55:00"/>
    <x v="0"/>
    <x v="0"/>
  </r>
  <r>
    <s v="1-17952130"/>
    <x v="0"/>
    <d v="2025-12-10T11:52:00"/>
    <d v="2025-12-10T12:30:00"/>
    <x v="1"/>
    <x v="0"/>
  </r>
  <r>
    <s v="1-17952130"/>
    <x v="0"/>
    <d v="2025-12-10T15:37:00"/>
    <d v="2025-12-10T15:37:00"/>
    <x v="0"/>
    <x v="0"/>
  </r>
  <r>
    <s v="1-17952130"/>
    <x v="0"/>
    <d v="2025-12-23T08:37:00"/>
    <d v="2025-12-23T08:37:00"/>
    <x v="0"/>
    <x v="0"/>
  </r>
  <r>
    <s v="1-17952130"/>
    <x v="0"/>
    <d v="2025-12-23T10:53:00"/>
    <d v="2025-12-23T11:02:00"/>
    <x v="2"/>
    <x v="0"/>
  </r>
  <r>
    <s v="1-17952130"/>
    <x v="0"/>
    <d v="2025-12-23T13:30:00"/>
    <d v="2025-12-23T13:43:00"/>
    <x v="3"/>
    <x v="0"/>
  </r>
  <r>
    <s v="1-17952130"/>
    <x v="0"/>
    <d v="2025-12-23T15:58:00"/>
    <d v="2025-12-23T15:58:00"/>
    <x v="0"/>
    <x v="0"/>
  </r>
  <r>
    <s v="1-44279757"/>
    <x v="1"/>
    <d v="2025-12-03T08:47:00"/>
    <d v="2025-12-03T10:46:00"/>
    <x v="4"/>
    <x v="0"/>
  </r>
  <r>
    <s v="1-44279757"/>
    <x v="1"/>
    <d v="2025-12-03T11:58:00"/>
    <d v="2025-12-03T13:02:00"/>
    <x v="5"/>
    <x v="0"/>
  </r>
  <r>
    <s v="1-44279757"/>
    <x v="1"/>
    <d v="2025-12-03T15:43:00"/>
    <d v="2025-12-03T15:43:00"/>
    <x v="0"/>
    <x v="0"/>
  </r>
  <r>
    <s v="1-44279757"/>
    <x v="1"/>
    <d v="2025-12-06T07:31:00"/>
    <d v="2025-12-06T07:45:00"/>
    <x v="6"/>
    <x v="0"/>
  </r>
  <r>
    <s v="1-44279757"/>
    <x v="1"/>
    <d v="2025-12-06T07:54:00"/>
    <d v="2025-12-06T08:17:00"/>
    <x v="7"/>
    <x v="0"/>
  </r>
  <r>
    <s v="1-44279757"/>
    <x v="1"/>
    <d v="2025-12-06T18:01:00"/>
    <d v="2025-12-06T18:01:00"/>
    <x v="0"/>
    <x v="0"/>
  </r>
  <r>
    <s v="1-44279757"/>
    <x v="1"/>
    <d v="2025-12-17T09:04:00"/>
    <d v="2025-12-17T09:04:00"/>
    <x v="0"/>
    <x v="0"/>
  </r>
  <r>
    <s v="1-44279757"/>
    <x v="1"/>
    <d v="2025-12-17T09:18:00"/>
    <d v="2025-12-17T11:26:00"/>
    <x v="8"/>
    <x v="0"/>
  </r>
  <r>
    <s v="1-44279757"/>
    <x v="1"/>
    <d v="2025-12-17T15:57:00"/>
    <d v="2025-12-17T15:57:00"/>
    <x v="0"/>
    <x v="0"/>
  </r>
  <r>
    <s v="1-44279757"/>
    <x v="1"/>
    <d v="2025-12-23T08:37:00"/>
    <d v="2025-12-23T08:37:00"/>
    <x v="0"/>
    <x v="0"/>
  </r>
  <r>
    <s v="1-44279757"/>
    <x v="1"/>
    <d v="2025-12-23T15:58:00"/>
    <d v="2025-12-23T15:58:00"/>
    <x v="0"/>
    <x v="0"/>
  </r>
  <r>
    <s v="1-44279757"/>
    <x v="1"/>
    <d v="2025-12-30T08:43:00"/>
    <d v="2025-12-30T08:43:00"/>
    <x v="0"/>
    <x v="0"/>
  </r>
  <r>
    <s v="1-44279757"/>
    <x v="1"/>
    <d v="2025-12-30T15:42:00"/>
    <d v="2025-12-30T15:42:00"/>
    <x v="0"/>
    <x v="0"/>
  </r>
  <r>
    <s v="1-31472794"/>
    <x v="2"/>
    <d v="2025-12-03T06:04:00"/>
    <d v="2025-12-03T06:04:00"/>
    <x v="0"/>
    <x v="0"/>
  </r>
  <r>
    <s v="1-31472794"/>
    <x v="2"/>
    <d v="2025-12-03T08:54:00"/>
    <d v="2025-12-03T10:34:00"/>
    <x v="9"/>
    <x v="0"/>
  </r>
  <r>
    <s v="1-31472794"/>
    <x v="2"/>
    <d v="2025-12-03T11:58:00"/>
    <d v="2025-12-03T13:02:00"/>
    <x v="5"/>
    <x v="0"/>
  </r>
  <r>
    <s v="1-31472794"/>
    <x v="2"/>
    <d v="2025-12-03T16:31:00"/>
    <d v="2025-12-03T16:31:00"/>
    <x v="0"/>
    <x v="0"/>
  </r>
  <r>
    <s v="1-31472794"/>
    <x v="2"/>
    <d v="2025-12-06T07:32:00"/>
    <d v="2025-12-06T07:32:00"/>
    <x v="0"/>
    <x v="0"/>
  </r>
  <r>
    <s v="1-31472794"/>
    <x v="2"/>
    <d v="2025-12-06T07:54:00"/>
    <d v="2025-12-06T08:17:00"/>
    <x v="7"/>
    <x v="0"/>
  </r>
  <r>
    <s v="1-31472794"/>
    <x v="2"/>
    <d v="2025-12-06T18:02:00"/>
    <d v="2025-12-06T18:02:00"/>
    <x v="0"/>
    <x v="0"/>
  </r>
  <r>
    <s v="1-31472794"/>
    <x v="2"/>
    <d v="2025-12-10T07:54:00"/>
    <d v="2025-12-10T07:54:00"/>
    <x v="0"/>
    <x v="0"/>
  </r>
  <r>
    <s v="1-31472794"/>
    <x v="2"/>
    <d v="2025-12-10T11:35:00"/>
    <d v="2025-12-10T12:25:00"/>
    <x v="10"/>
    <x v="0"/>
  </r>
  <r>
    <s v="1-31472794"/>
    <x v="2"/>
    <d v="2025-12-10T15:44:00"/>
    <d v="2025-12-10T15:44:00"/>
    <x v="0"/>
    <x v="0"/>
  </r>
  <r>
    <s v="1-31472794"/>
    <x v="2"/>
    <d v="2025-12-17T07:56:00"/>
    <d v="2025-12-17T07:56:00"/>
    <x v="0"/>
    <x v="0"/>
  </r>
  <r>
    <s v="1-31472794"/>
    <x v="2"/>
    <d v="2025-12-17T10:02:00"/>
    <d v="2025-12-17T10:38:00"/>
    <x v="11"/>
    <x v="0"/>
  </r>
  <r>
    <s v="1-31472794"/>
    <x v="2"/>
    <d v="2025-12-17T10:55:00"/>
    <d v="2025-12-17T11:26:00"/>
    <x v="12"/>
    <x v="0"/>
  </r>
  <r>
    <s v="1-31472794"/>
    <x v="2"/>
    <d v="2025-12-17T15:57:00"/>
    <d v="2025-12-17T15:57:00"/>
    <x v="0"/>
    <x v="0"/>
  </r>
  <r>
    <s v="1-31472794"/>
    <x v="2"/>
    <d v="2025-12-17T17:07:00"/>
    <d v="2025-12-17T17:07:00"/>
    <x v="0"/>
    <x v="0"/>
  </r>
  <r>
    <s v="1-31472794"/>
    <x v="2"/>
    <d v="2025-12-17T17:44:00"/>
    <d v="2025-12-17T17:44:00"/>
    <x v="0"/>
    <x v="0"/>
  </r>
  <r>
    <s v="1-31472794"/>
    <x v="2"/>
    <d v="2025-12-23T09:19:00"/>
    <d v="2025-12-23T09:19:00"/>
    <x v="0"/>
    <x v="0"/>
  </r>
  <r>
    <s v="1-31472794"/>
    <x v="2"/>
    <d v="2025-12-23T15:56:00"/>
    <d v="2025-12-23T15:56:00"/>
    <x v="0"/>
    <x v="0"/>
  </r>
  <r>
    <s v="1-31472794"/>
    <x v="2"/>
    <d v="2025-12-30T08:12:00"/>
    <d v="2025-12-30T08:12:00"/>
    <x v="0"/>
    <x v="0"/>
  </r>
  <r>
    <s v="1-31472794"/>
    <x v="2"/>
    <d v="2025-12-30T15:42:00"/>
    <d v="2025-12-30T15:42:00"/>
    <x v="0"/>
    <x v="0"/>
  </r>
  <r>
    <s v="1-22233614"/>
    <x v="3"/>
    <d v="2025-12-03T06:04:00"/>
    <d v="2025-12-03T06:04:00"/>
    <x v="0"/>
    <x v="0"/>
  </r>
  <r>
    <s v="1-22233614"/>
    <x v="3"/>
    <d v="2025-12-03T06:11:00"/>
    <d v="2025-12-03T06:27:00"/>
    <x v="13"/>
    <x v="0"/>
  </r>
  <r>
    <s v="1-22233614"/>
    <x v="3"/>
    <d v="2025-12-03T06:54:00"/>
    <d v="2025-12-03T06:54:00"/>
    <x v="0"/>
    <x v="0"/>
  </r>
  <r>
    <s v="1-22233614"/>
    <x v="3"/>
    <d v="2025-12-03T07:59:00"/>
    <d v="2025-12-03T08:24:00"/>
    <x v="14"/>
    <x v="0"/>
  </r>
  <r>
    <s v="1-22233614"/>
    <x v="3"/>
    <d v="2025-12-03T08:50:00"/>
    <d v="2025-12-03T10:34:00"/>
    <x v="15"/>
    <x v="0"/>
  </r>
  <r>
    <s v="1-22233614"/>
    <x v="3"/>
    <d v="2025-12-03T11:58:00"/>
    <d v="2025-12-03T13:02:00"/>
    <x v="5"/>
    <x v="0"/>
  </r>
  <r>
    <s v="1-22233614"/>
    <x v="3"/>
    <d v="2025-12-03T16:31:00"/>
    <d v="2025-12-03T16:31:00"/>
    <x v="0"/>
    <x v="0"/>
  </r>
  <r>
    <s v="1-22233614"/>
    <x v="3"/>
    <d v="2025-12-06T08:28:00"/>
    <d v="2025-12-06T08:28:00"/>
    <x v="0"/>
    <x v="0"/>
  </r>
  <r>
    <s v="1-22233614"/>
    <x v="3"/>
    <d v="2025-12-06T18:07:00"/>
    <d v="2025-12-06T18:07:00"/>
    <x v="0"/>
    <x v="0"/>
  </r>
  <r>
    <s v="1-22233614"/>
    <x v="3"/>
    <d v="2025-12-10T09:08:00"/>
    <d v="2025-12-10T09:08:00"/>
    <x v="0"/>
    <x v="0"/>
  </r>
  <r>
    <s v="1-22233614"/>
    <x v="3"/>
    <d v="2025-12-10T11:35:00"/>
    <d v="2025-12-10T12:25:00"/>
    <x v="10"/>
    <x v="0"/>
  </r>
  <r>
    <s v="1-22233614"/>
    <x v="3"/>
    <d v="2025-12-10T15:44:00"/>
    <d v="2025-12-10T15:44:00"/>
    <x v="0"/>
    <x v="0"/>
  </r>
  <r>
    <s v="1-22233614"/>
    <x v="3"/>
    <d v="2025-12-12T11:49:00"/>
    <d v="2025-12-12T11:49:00"/>
    <x v="0"/>
    <x v="0"/>
  </r>
  <r>
    <s v="1-22233614"/>
    <x v="3"/>
    <d v="2025-12-12T12:52:00"/>
    <d v="2025-12-12T12:52:00"/>
    <x v="0"/>
    <x v="0"/>
  </r>
  <r>
    <s v="1-22233614"/>
    <x v="3"/>
    <d v="2025-12-17T10:08:00"/>
    <d v="2025-12-17T10:08:00"/>
    <x v="0"/>
    <x v="0"/>
  </r>
  <r>
    <s v="1-22233614"/>
    <x v="3"/>
    <d v="2025-12-17T15:57:00"/>
    <d v="2025-12-17T15:57:00"/>
    <x v="0"/>
    <x v="0"/>
  </r>
  <r>
    <s v="1-22233614"/>
    <x v="3"/>
    <d v="2025-12-17T17:07:00"/>
    <d v="2025-12-17T17:07:00"/>
    <x v="0"/>
    <x v="0"/>
  </r>
  <r>
    <s v="1-22233614"/>
    <x v="3"/>
    <d v="2025-12-17T17:44:00"/>
    <d v="2025-12-17T17:44:00"/>
    <x v="0"/>
    <x v="0"/>
  </r>
  <r>
    <s v="1-22233614"/>
    <x v="3"/>
    <d v="2025-12-23T09:19:00"/>
    <d v="2025-12-23T09:19:00"/>
    <x v="0"/>
    <x v="0"/>
  </r>
  <r>
    <s v="1-22233614"/>
    <x v="3"/>
    <d v="2025-12-23T15:56:00"/>
    <d v="2025-12-23T15:56:00"/>
    <x v="0"/>
    <x v="0"/>
  </r>
  <r>
    <s v="1-22233614"/>
    <x v="3"/>
    <d v="2025-12-30T08:13:00"/>
    <d v="2025-12-30T08:30:00"/>
    <x v="16"/>
    <x v="0"/>
  </r>
  <r>
    <s v="1-22233614"/>
    <x v="3"/>
    <d v="2025-12-30T16:30:00"/>
    <d v="2025-12-30T16:30:00"/>
    <x v="0"/>
    <x v="0"/>
  </r>
  <r>
    <s v="1-37718801"/>
    <x v="4"/>
    <d v="2025-12-10T08:54:00"/>
    <d v="2025-12-10T08:54:00"/>
    <x v="0"/>
    <x v="0"/>
  </r>
  <r>
    <s v="1-37718801"/>
    <x v="4"/>
    <d v="2025-12-10T11:52:00"/>
    <d v="2025-12-10T12:28:00"/>
    <x v="11"/>
    <x v="0"/>
  </r>
  <r>
    <s v="1-37718801"/>
    <x v="4"/>
    <d v="2025-12-10T15:37:00"/>
    <d v="2025-12-10T15:37:00"/>
    <x v="0"/>
    <x v="0"/>
  </r>
  <r>
    <s v="1-37718801"/>
    <x v="4"/>
    <d v="2025-12-23T08:37:00"/>
    <d v="2025-12-23T08:37:00"/>
    <x v="0"/>
    <x v="0"/>
  </r>
  <r>
    <s v="1-37718801"/>
    <x v="4"/>
    <d v="2025-12-23T15:58:00"/>
    <d v="2025-12-23T15:58:00"/>
    <x v="0"/>
    <x v="0"/>
  </r>
  <r>
    <s v="1-37591299"/>
    <x v="5"/>
    <d v="2025-12-01T07:53:00"/>
    <d v="2025-12-01T08:15:00"/>
    <x v="17"/>
    <x v="0"/>
  </r>
  <r>
    <s v="1-37591299"/>
    <x v="5"/>
    <d v="2025-12-01T08:21:00"/>
    <d v="2025-12-01T16:54:00"/>
    <x v="18"/>
    <x v="0"/>
  </r>
  <r>
    <s v="1-37591299"/>
    <x v="5"/>
    <d v="2025-12-04T07:58:00"/>
    <d v="2025-12-04T15:46:00"/>
    <x v="19"/>
    <x v="0"/>
  </r>
  <r>
    <s v="1-37591299"/>
    <x v="5"/>
    <d v="2025-12-06T07:42:00"/>
    <d v="2025-12-06T07:42:00"/>
    <x v="0"/>
    <x v="0"/>
  </r>
  <r>
    <s v="1-37591299"/>
    <x v="5"/>
    <d v="2025-12-06T18:02:00"/>
    <d v="2025-12-06T18:02:00"/>
    <x v="0"/>
    <x v="0"/>
  </r>
  <r>
    <s v="1-37591299"/>
    <x v="5"/>
    <d v="2025-12-09T12:45:00"/>
    <d v="2025-12-09T13:58:00"/>
    <x v="20"/>
    <x v="0"/>
  </r>
  <r>
    <s v="1-37591299"/>
    <x v="5"/>
    <d v="2025-12-09T14:05:00"/>
    <d v="2025-12-09T16:44:00"/>
    <x v="21"/>
    <x v="0"/>
  </r>
  <r>
    <s v="1-37591299"/>
    <x v="5"/>
    <d v="2025-12-10T07:54:00"/>
    <d v="2025-12-10T08:08:00"/>
    <x v="6"/>
    <x v="0"/>
  </r>
  <r>
    <s v="1-37591299"/>
    <x v="5"/>
    <d v="2025-12-10T09:01:00"/>
    <d v="2025-12-10T16:50:00"/>
    <x v="22"/>
    <x v="0"/>
  </r>
  <r>
    <s v="1-37591299"/>
    <x v="5"/>
    <d v="2025-12-12T07:54:00"/>
    <d v="2025-12-12T16:51:00"/>
    <x v="23"/>
    <x v="0"/>
  </r>
  <r>
    <s v="1-37591299"/>
    <x v="5"/>
    <d v="2025-12-17T07:56:00"/>
    <d v="2025-12-17T08:26:00"/>
    <x v="24"/>
    <x v="0"/>
  </r>
  <r>
    <s v="1-37591299"/>
    <x v="5"/>
    <d v="2025-12-17T09:12:00"/>
    <d v="2025-12-17T10:44:00"/>
    <x v="25"/>
    <x v="0"/>
  </r>
  <r>
    <s v="1-37591299"/>
    <x v="5"/>
    <d v="2025-12-17T16:00:00"/>
    <d v="2025-12-17T16:42:00"/>
    <x v="26"/>
    <x v="0"/>
  </r>
  <r>
    <s v="1-37591299"/>
    <x v="5"/>
    <d v="2025-12-22T07:49:00"/>
    <d v="2025-12-22T16:46:00"/>
    <x v="23"/>
    <x v="0"/>
  </r>
  <r>
    <s v="1-37591299"/>
    <x v="5"/>
    <m/>
    <m/>
    <x v="0"/>
    <x v="0"/>
  </r>
  <r>
    <s v="1-37591299"/>
    <x v="5"/>
    <d v="2025-12-23T08:54:00"/>
    <d v="2025-12-23T16:40:00"/>
    <x v="27"/>
    <x v="0"/>
  </r>
  <r>
    <s v="1-37591299"/>
    <x v="5"/>
    <d v="2025-12-29T07:51:00"/>
    <d v="2025-12-29T16:40:00"/>
    <x v="28"/>
    <x v="0"/>
  </r>
  <r>
    <s v="1-37591299"/>
    <x v="5"/>
    <d v="2025-12-30T15:34:00"/>
    <d v="2025-12-30T16:49:00"/>
    <x v="29"/>
    <x v="0"/>
  </r>
  <r>
    <s v="1-34453345"/>
    <x v="6"/>
    <d v="2025-12-06T07:54:00"/>
    <d v="2025-12-06T08:18:00"/>
    <x v="30"/>
    <x v="0"/>
  </r>
  <r>
    <s v="1-34453345"/>
    <x v="6"/>
    <d v="2025-12-06T18:01:00"/>
    <d v="2025-12-06T18:01:00"/>
    <x v="0"/>
    <x v="0"/>
  </r>
  <r>
    <s v="1-34453345"/>
    <x v="6"/>
    <d v="2025-12-10T08:56:00"/>
    <d v="2025-12-10T08:56:00"/>
    <x v="0"/>
    <x v="0"/>
  </r>
  <r>
    <s v="1-34453345"/>
    <x v="6"/>
    <d v="2025-12-10T11:35:00"/>
    <d v="2025-12-10T12:30:00"/>
    <x v="31"/>
    <x v="0"/>
  </r>
  <r>
    <s v="1-34453345"/>
    <x v="6"/>
    <d v="2025-12-10T15:37:00"/>
    <d v="2025-12-10T15:37:00"/>
    <x v="0"/>
    <x v="0"/>
  </r>
  <r>
    <s v="1-34453345"/>
    <x v="6"/>
    <d v="2025-12-17T09:05:00"/>
    <d v="2025-12-17T09:05:00"/>
    <x v="0"/>
    <x v="0"/>
  </r>
  <r>
    <s v="1-34453345"/>
    <x v="6"/>
    <d v="2025-12-17T09:19:00"/>
    <d v="2025-12-17T09:47:00"/>
    <x v="32"/>
    <x v="0"/>
  </r>
  <r>
    <s v="1-34453345"/>
    <x v="6"/>
    <d v="2025-12-17T10:02:00"/>
    <d v="2025-12-17T10:38:00"/>
    <x v="11"/>
    <x v="0"/>
  </r>
  <r>
    <s v="1-34453345"/>
    <x v="6"/>
    <d v="2025-12-17T15:57:00"/>
    <d v="2025-12-17T15:57:00"/>
    <x v="0"/>
    <x v="0"/>
  </r>
  <r>
    <s v="1-34453345"/>
    <x v="6"/>
    <d v="2025-12-30T08:44:00"/>
    <d v="2025-12-30T08:44:00"/>
    <x v="0"/>
    <x v="0"/>
  </r>
  <r>
    <s v="1-34453345"/>
    <x v="6"/>
    <d v="2025-12-30T09:43:00"/>
    <d v="2025-12-30T10:00:00"/>
    <x v="16"/>
    <x v="0"/>
  </r>
  <r>
    <s v="1-17952130"/>
    <x v="0"/>
    <d v="2025-12-04T09:10:00"/>
    <d v="2025-12-04T15:24:00"/>
    <x v="33"/>
    <x v="1"/>
  </r>
  <r>
    <s v="1-17952130"/>
    <x v="0"/>
    <d v="2025-12-11T08:46:00"/>
    <d v="2025-12-11T16:32:00"/>
    <x v="27"/>
    <x v="1"/>
  </r>
  <r>
    <s v="1-17952130"/>
    <x v="0"/>
    <d v="2025-12-19T07:06:00"/>
    <d v="2025-12-19T08:53:00"/>
    <x v="34"/>
    <x v="1"/>
  </r>
  <r>
    <s v="1-17952130"/>
    <x v="0"/>
    <d v="2025-12-22T15:40:00"/>
    <d v="2025-12-22T17:20:00"/>
    <x v="9"/>
    <x v="1"/>
  </r>
  <r>
    <s v="1-44279757"/>
    <x v="1"/>
    <d v="2025-12-31T11:56:00"/>
    <d v="2025-12-31T12:45:00"/>
    <x v="35"/>
    <x v="1"/>
  </r>
  <r>
    <s v="1-31472794"/>
    <x v="2"/>
    <d v="2025-12-18T07:19:00"/>
    <d v="2025-12-18T11:54:00"/>
    <x v="36"/>
    <x v="1"/>
  </r>
  <r>
    <s v="1-31472794"/>
    <x v="2"/>
    <d v="2025-12-31T11:56:00"/>
    <d v="2025-12-31T12:45:00"/>
    <x v="35"/>
    <x v="1"/>
  </r>
  <r>
    <s v="1-22233614"/>
    <x v="3"/>
    <d v="2025-12-11T08:48:00"/>
    <d v="2025-12-11T16:10:00"/>
    <x v="37"/>
    <x v="1"/>
  </r>
  <r>
    <s v="1-22233614"/>
    <x v="3"/>
    <d v="2025-12-18T07:19:00"/>
    <d v="2025-12-18T11:54:00"/>
    <x v="36"/>
    <x v="1"/>
  </r>
  <r>
    <s v="1-22233614"/>
    <x v="3"/>
    <d v="2025-12-31T11:56:00"/>
    <d v="2025-12-31T12:48:00"/>
    <x v="38"/>
    <x v="1"/>
  </r>
  <r>
    <s v="1-20297614"/>
    <x v="7"/>
    <d v="2025-12-04T09:05:00"/>
    <d v="2025-12-04T15:21:00"/>
    <x v="39"/>
    <x v="1"/>
  </r>
  <r>
    <s v="1-20297614"/>
    <x v="7"/>
    <d v="2025-12-23T12:06:00"/>
    <d v="2025-12-23T13:49:00"/>
    <x v="40"/>
    <x v="1"/>
  </r>
  <r>
    <s v="1-37718801"/>
    <x v="4"/>
    <d v="2025-12-04T09:05:00"/>
    <d v="2025-12-04T15:21:00"/>
    <x v="39"/>
    <x v="1"/>
  </r>
  <r>
    <s v="1-37718801"/>
    <x v="4"/>
    <d v="2025-12-11T08:47:00"/>
    <d v="2025-12-11T16:32:00"/>
    <x v="41"/>
    <x v="1"/>
  </r>
  <r>
    <s v="1-37718801"/>
    <x v="4"/>
    <d v="2025-12-19T07:06:00"/>
    <d v="2025-12-19T08:53:00"/>
    <x v="34"/>
    <x v="1"/>
  </r>
  <r>
    <s v="1-37718801"/>
    <x v="4"/>
    <d v="2025-12-22T15:40:00"/>
    <d v="2025-12-22T17:20:00"/>
    <x v="9"/>
    <x v="1"/>
  </r>
  <r>
    <s v="1-37718801"/>
    <x v="4"/>
    <d v="2025-12-31T11:56:00"/>
    <d v="2025-12-31T12:51:00"/>
    <x v="31"/>
    <x v="1"/>
  </r>
  <r>
    <s v="1-37591299"/>
    <x v="5"/>
    <d v="2025-12-11T08:28:00"/>
    <d v="2025-12-11T16:32:00"/>
    <x v="42"/>
    <x v="1"/>
  </r>
  <r>
    <s v="1-37591299"/>
    <x v="5"/>
    <d v="2025-12-31T11:55:00"/>
    <d v="2025-12-31T12:48:00"/>
    <x v="43"/>
    <x v="1"/>
  </r>
  <r>
    <s v="1-34453345"/>
    <x v="6"/>
    <d v="2025-12-23T12:15:00"/>
    <d v="2025-12-23T13:50:00"/>
    <x v="44"/>
    <x v="1"/>
  </r>
  <r>
    <s v="1-17952130"/>
    <x v="0"/>
    <d v="2025-12-01T07:30:00"/>
    <d v="2025-12-01T08:19:00"/>
    <x v="35"/>
    <x v="2"/>
  </r>
  <r>
    <s v="1-17952130"/>
    <x v="0"/>
    <d v="2025-12-01T11:43:00"/>
    <d v="2025-12-01T16:31:00"/>
    <x v="45"/>
    <x v="2"/>
  </r>
  <r>
    <s v="1-17952130"/>
    <x v="0"/>
    <d v="2025-12-02T07:31:00"/>
    <d v="2025-12-02T14:00:00"/>
    <x v="46"/>
    <x v="2"/>
  </r>
  <r>
    <s v="1-17952130"/>
    <x v="0"/>
    <d v="2025-12-02T16:24:00"/>
    <d v="2025-12-02T16:24:00"/>
    <x v="0"/>
    <x v="2"/>
  </r>
  <r>
    <s v="1-17952130"/>
    <x v="0"/>
    <d v="2025-12-03T07:26:00"/>
    <d v="2025-12-03T07:26:00"/>
    <x v="0"/>
    <x v="2"/>
  </r>
  <r>
    <s v="1-17952130"/>
    <x v="0"/>
    <d v="2025-12-03T16:00:00"/>
    <d v="2025-12-03T16:27:00"/>
    <x v="47"/>
    <x v="2"/>
  </r>
  <r>
    <s v="1-17952130"/>
    <x v="0"/>
    <d v="2025-12-04T07:27:00"/>
    <d v="2025-12-04T08:02:00"/>
    <x v="48"/>
    <x v="2"/>
  </r>
  <r>
    <s v="1-17952130"/>
    <x v="0"/>
    <d v="2025-12-04T16:27:00"/>
    <d v="2025-12-04T16:27:00"/>
    <x v="0"/>
    <x v="2"/>
  </r>
  <r>
    <s v="1-17952130"/>
    <x v="0"/>
    <d v="2025-12-05T07:33:00"/>
    <d v="2025-12-05T08:07:00"/>
    <x v="49"/>
    <x v="2"/>
  </r>
  <r>
    <s v="1-17952130"/>
    <x v="0"/>
    <d v="2025-12-05T16:31:00"/>
    <d v="2025-12-05T16:31:00"/>
    <x v="0"/>
    <x v="2"/>
  </r>
  <r>
    <s v="1-17952130"/>
    <x v="0"/>
    <d v="2025-12-09T07:31:00"/>
    <d v="2025-12-09T12:45:00"/>
    <x v="50"/>
    <x v="2"/>
  </r>
  <r>
    <s v="1-17952130"/>
    <x v="0"/>
    <d v="2025-12-09T13:53:00"/>
    <d v="2025-12-09T15:41:00"/>
    <x v="51"/>
    <x v="2"/>
  </r>
  <r>
    <s v="1-17952130"/>
    <x v="0"/>
    <d v="2025-12-09T16:31:00"/>
    <d v="2025-12-09T16:31:00"/>
    <x v="0"/>
    <x v="2"/>
  </r>
  <r>
    <s v="1-17952130"/>
    <x v="0"/>
    <d v="2025-12-10T07:24:00"/>
    <d v="2025-12-10T07:27:00"/>
    <x v="52"/>
    <x v="2"/>
  </r>
  <r>
    <s v="1-17952130"/>
    <x v="0"/>
    <d v="2025-12-10T16:35:00"/>
    <d v="2025-12-10T16:35:00"/>
    <x v="0"/>
    <x v="2"/>
  </r>
  <r>
    <s v="1-17952130"/>
    <x v="0"/>
    <d v="2025-12-11T07:26:00"/>
    <d v="2025-12-11T08:04:00"/>
    <x v="1"/>
    <x v="2"/>
  </r>
  <r>
    <s v="1-17952130"/>
    <x v="0"/>
    <d v="2025-12-12T07:31:00"/>
    <d v="2025-12-12T07:46:00"/>
    <x v="53"/>
    <x v="2"/>
  </r>
  <r>
    <s v="1-17952130"/>
    <x v="0"/>
    <d v="2025-12-12T12:03:00"/>
    <d v="2025-12-12T13:08:00"/>
    <x v="54"/>
    <x v="2"/>
  </r>
  <r>
    <s v="1-17952130"/>
    <x v="0"/>
    <d v="2025-12-12T16:18:00"/>
    <d v="2025-12-12T16:18:00"/>
    <x v="0"/>
    <x v="2"/>
  </r>
  <r>
    <s v="1-17952130"/>
    <x v="0"/>
    <d v="2025-12-15T07:31:00"/>
    <d v="2025-12-15T08:12:00"/>
    <x v="55"/>
    <x v="2"/>
  </r>
  <r>
    <s v="1-17952130"/>
    <x v="0"/>
    <d v="2025-12-15T16:34:00"/>
    <d v="2025-12-15T16:34:00"/>
    <x v="0"/>
    <x v="2"/>
  </r>
  <r>
    <s v="1-17952130"/>
    <x v="0"/>
    <d v="2025-12-16T07:28:00"/>
    <d v="2025-12-16T08:12:00"/>
    <x v="56"/>
    <x v="2"/>
  </r>
  <r>
    <s v="1-17952130"/>
    <x v="0"/>
    <d v="2025-12-16T09:40:00"/>
    <d v="2025-12-16T16:28:00"/>
    <x v="57"/>
    <x v="2"/>
  </r>
  <r>
    <s v="1-17952130"/>
    <x v="0"/>
    <d v="2025-12-17T07:29:00"/>
    <d v="2025-12-17T07:33:00"/>
    <x v="58"/>
    <x v="2"/>
  </r>
  <r>
    <s v="1-17952130"/>
    <x v="0"/>
    <d v="2025-12-18T07:27:00"/>
    <d v="2025-12-18T08:09:00"/>
    <x v="26"/>
    <x v="2"/>
  </r>
  <r>
    <s v="1-17952130"/>
    <x v="0"/>
    <d v="2025-12-18T11:18:00"/>
    <d v="2025-12-18T12:45:00"/>
    <x v="59"/>
    <x v="2"/>
  </r>
  <r>
    <s v="1-17952130"/>
    <x v="0"/>
    <d v="2025-12-19T06:01:00"/>
    <d v="2025-12-19T06:01:00"/>
    <x v="0"/>
    <x v="2"/>
  </r>
  <r>
    <s v="1-17952130"/>
    <x v="0"/>
    <d v="2025-12-22T07:29:00"/>
    <d v="2025-12-22T08:04:00"/>
    <x v="48"/>
    <x v="2"/>
  </r>
  <r>
    <s v="1-17952130"/>
    <x v="0"/>
    <d v="2025-12-22T12:12:00"/>
    <d v="2025-12-22T13:36:00"/>
    <x v="60"/>
    <x v="2"/>
  </r>
  <r>
    <s v="1-17952130"/>
    <x v="0"/>
    <d v="2025-12-23T07:22:00"/>
    <d v="2025-12-23T07:22:00"/>
    <x v="0"/>
    <x v="2"/>
  </r>
  <r>
    <s v="1-17952130"/>
    <x v="0"/>
    <d v="2025-12-23T17:10:00"/>
    <d v="2025-12-23T17:10:00"/>
    <x v="0"/>
    <x v="2"/>
  </r>
  <r>
    <s v="1-17952130"/>
    <x v="0"/>
    <d v="2025-12-24T06:10:00"/>
    <d v="2025-12-24T08:23:00"/>
    <x v="61"/>
    <x v="2"/>
  </r>
  <r>
    <s v="1-17952130"/>
    <x v="0"/>
    <d v="2025-12-24T09:10:00"/>
    <d v="2025-12-24T13:54:00"/>
    <x v="62"/>
    <x v="2"/>
  </r>
  <r>
    <s v="1-17952130"/>
    <x v="0"/>
    <d v="2025-12-29T07:27:00"/>
    <d v="2025-12-29T07:49:00"/>
    <x v="17"/>
    <x v="2"/>
  </r>
  <r>
    <s v="1-17952130"/>
    <x v="0"/>
    <d v="2025-12-29T09:54:00"/>
    <d v="2025-12-29T16:30:00"/>
    <x v="63"/>
    <x v="2"/>
  </r>
  <r>
    <s v="1-17952130"/>
    <x v="0"/>
    <d v="2025-12-30T07:31:00"/>
    <d v="2025-12-30T07:54:00"/>
    <x v="7"/>
    <x v="2"/>
  </r>
  <r>
    <s v="1-17952130"/>
    <x v="0"/>
    <d v="2025-12-30T10:06:00"/>
    <d v="2025-12-30T16:27:00"/>
    <x v="64"/>
    <x v="2"/>
  </r>
  <r>
    <s v="1-17952130"/>
    <x v="0"/>
    <d v="2025-12-31T06:00:00"/>
    <d v="2025-12-31T08:55:00"/>
    <x v="65"/>
    <x v="2"/>
  </r>
  <r>
    <s v="1-17952130"/>
    <x v="0"/>
    <d v="2025-12-31T10:58:00"/>
    <d v="2025-12-31T11:23:00"/>
    <x v="14"/>
    <x v="2"/>
  </r>
  <r>
    <s v="1-17952130"/>
    <x v="0"/>
    <d v="2025-12-31T12:00:00"/>
    <d v="2025-12-31T13:52:00"/>
    <x v="66"/>
    <x v="2"/>
  </r>
  <r>
    <s v="1-44279757"/>
    <x v="1"/>
    <d v="2025-12-01T07:31:00"/>
    <d v="2025-12-01T16:30:00"/>
    <x v="67"/>
    <x v="2"/>
  </r>
  <r>
    <s v="1-44279757"/>
    <x v="1"/>
    <d v="2025-12-02T07:29:00"/>
    <d v="2025-12-02T08:25:00"/>
    <x v="68"/>
    <x v="2"/>
  </r>
  <r>
    <s v="1-44279757"/>
    <x v="1"/>
    <d v="2025-12-02T16:27:00"/>
    <d v="2025-12-02T16:27:00"/>
    <x v="0"/>
    <x v="2"/>
  </r>
  <r>
    <s v="1-44279757"/>
    <x v="1"/>
    <d v="2025-12-03T07:29:00"/>
    <d v="2025-12-03T07:29:00"/>
    <x v="0"/>
    <x v="2"/>
  </r>
  <r>
    <s v="1-44279757"/>
    <x v="1"/>
    <d v="2025-12-03T17:26:00"/>
    <d v="2025-12-03T17:26:00"/>
    <x v="0"/>
    <x v="2"/>
  </r>
  <r>
    <s v="1-44279757"/>
    <x v="1"/>
    <d v="2025-12-04T07:26:00"/>
    <d v="2025-12-04T08:06:00"/>
    <x v="69"/>
    <x v="2"/>
  </r>
  <r>
    <s v="1-44279757"/>
    <x v="1"/>
    <d v="2025-12-04T11:31:00"/>
    <d v="2025-12-04T12:26:00"/>
    <x v="31"/>
    <x v="2"/>
  </r>
  <r>
    <s v="1-44279757"/>
    <x v="1"/>
    <d v="2025-12-04T16:27:00"/>
    <d v="2025-12-04T16:30:00"/>
    <x v="52"/>
    <x v="2"/>
  </r>
  <r>
    <s v="1-44279757"/>
    <x v="1"/>
    <d v="2025-12-05T07:30:00"/>
    <d v="2025-12-05T08:25:00"/>
    <x v="31"/>
    <x v="2"/>
  </r>
  <r>
    <s v="1-44279757"/>
    <x v="1"/>
    <d v="2025-12-05T16:34:00"/>
    <d v="2025-12-05T16:34:00"/>
    <x v="0"/>
    <x v="2"/>
  </r>
  <r>
    <s v="1-44279757"/>
    <x v="1"/>
    <d v="2025-12-06T06:02:00"/>
    <d v="2025-12-06T06:02:00"/>
    <x v="0"/>
    <x v="2"/>
  </r>
  <r>
    <s v="1-44279757"/>
    <x v="1"/>
    <d v="2025-12-06T19:00:00"/>
    <d v="2025-12-06T19:00:00"/>
    <x v="0"/>
    <x v="2"/>
  </r>
  <r>
    <s v="1-44279757"/>
    <x v="1"/>
    <d v="2025-12-09T07:33:00"/>
    <d v="2025-12-09T08:56:00"/>
    <x v="70"/>
    <x v="2"/>
  </r>
  <r>
    <s v="1-44279757"/>
    <x v="1"/>
    <d v="2025-12-09T11:39:00"/>
    <d v="2025-12-09T12:46:00"/>
    <x v="71"/>
    <x v="2"/>
  </r>
  <r>
    <s v="1-44279757"/>
    <x v="1"/>
    <d v="2025-12-09T16:31:00"/>
    <d v="2025-12-09T16:31:00"/>
    <x v="0"/>
    <x v="2"/>
  </r>
  <r>
    <s v="1-44279757"/>
    <x v="1"/>
    <d v="2025-12-10T07:38:00"/>
    <d v="2025-12-10T08:15:00"/>
    <x v="72"/>
    <x v="2"/>
  </r>
  <r>
    <s v="1-44279757"/>
    <x v="1"/>
    <d v="2025-12-10T12:17:00"/>
    <d v="2025-12-10T13:11:00"/>
    <x v="73"/>
    <x v="2"/>
  </r>
  <r>
    <s v="1-44279757"/>
    <x v="1"/>
    <d v="2025-12-10T16:31:00"/>
    <d v="2025-12-10T16:31:00"/>
    <x v="0"/>
    <x v="2"/>
  </r>
  <r>
    <s v="1-44279757"/>
    <x v="1"/>
    <d v="2025-12-11T07:30:00"/>
    <d v="2025-12-11T08:07:00"/>
    <x v="72"/>
    <x v="2"/>
  </r>
  <r>
    <s v="1-44279757"/>
    <x v="1"/>
    <d v="2025-12-11T11:43:00"/>
    <d v="2025-12-11T13:07:00"/>
    <x v="60"/>
    <x v="2"/>
  </r>
  <r>
    <s v="1-44279757"/>
    <x v="1"/>
    <d v="2025-12-11T16:28:00"/>
    <d v="2025-12-11T16:30:00"/>
    <x v="74"/>
    <x v="2"/>
  </r>
  <r>
    <s v="1-44279757"/>
    <x v="1"/>
    <d v="2025-12-12T07:37:00"/>
    <d v="2025-12-12T07:42:00"/>
    <x v="75"/>
    <x v="2"/>
  </r>
  <r>
    <s v="1-44279757"/>
    <x v="1"/>
    <d v="2025-12-12T11:59:00"/>
    <d v="2025-12-12T13:14:00"/>
    <x v="29"/>
    <x v="2"/>
  </r>
  <r>
    <s v="1-44279757"/>
    <x v="1"/>
    <d v="2025-12-12T16:18:00"/>
    <d v="2025-12-12T16:18:00"/>
    <x v="0"/>
    <x v="2"/>
  </r>
  <r>
    <s v="1-44279757"/>
    <x v="1"/>
    <d v="2025-12-15T07:29:00"/>
    <d v="2025-12-15T08:12:00"/>
    <x v="76"/>
    <x v="2"/>
  </r>
  <r>
    <s v="1-44279757"/>
    <x v="1"/>
    <d v="2025-12-15T12:33:00"/>
    <d v="2025-12-15T13:28:00"/>
    <x v="31"/>
    <x v="2"/>
  </r>
  <r>
    <s v="1-44279757"/>
    <x v="1"/>
    <d v="2025-12-16T07:28:00"/>
    <d v="2025-12-16T08:12:00"/>
    <x v="56"/>
    <x v="2"/>
  </r>
  <r>
    <s v="1-44279757"/>
    <x v="1"/>
    <d v="2025-12-16T11:35:00"/>
    <d v="2025-12-16T13:02:00"/>
    <x v="59"/>
    <x v="2"/>
  </r>
  <r>
    <s v="1-44279757"/>
    <x v="1"/>
    <d v="2025-12-16T16:30:00"/>
    <d v="2025-12-16T16:30:00"/>
    <x v="0"/>
    <x v="2"/>
  </r>
  <r>
    <s v="1-44279757"/>
    <x v="1"/>
    <d v="2025-12-17T07:28:00"/>
    <d v="2025-12-17T07:38:00"/>
    <x v="77"/>
    <x v="2"/>
  </r>
  <r>
    <s v="1-44279757"/>
    <x v="1"/>
    <d v="2025-12-17T16:50:00"/>
    <d v="2025-12-17T16:50:00"/>
    <x v="0"/>
    <x v="2"/>
  </r>
  <r>
    <s v="1-44279757"/>
    <x v="1"/>
    <d v="2025-12-18T07:32:00"/>
    <d v="2025-12-18T07:32:00"/>
    <x v="0"/>
    <x v="2"/>
  </r>
  <r>
    <s v="1-44279757"/>
    <x v="1"/>
    <d v="2025-12-18T11:17:00"/>
    <d v="2025-12-18T16:28:00"/>
    <x v="78"/>
    <x v="2"/>
  </r>
  <r>
    <s v="1-44279757"/>
    <x v="1"/>
    <d v="2025-12-19T05:54:00"/>
    <d v="2025-12-19T05:54:00"/>
    <x v="0"/>
    <x v="2"/>
  </r>
  <r>
    <s v="1-44279757"/>
    <x v="1"/>
    <d v="2025-12-19T06:24:00"/>
    <d v="2025-12-19T08:03:00"/>
    <x v="79"/>
    <x v="2"/>
  </r>
  <r>
    <s v="1-44279757"/>
    <x v="1"/>
    <d v="2025-12-19T08:31:00"/>
    <d v="2025-12-19T13:54:00"/>
    <x v="80"/>
    <x v="2"/>
  </r>
  <r>
    <s v="1-44279757"/>
    <x v="1"/>
    <d v="2025-12-22T07:30:00"/>
    <d v="2025-12-22T14:26:00"/>
    <x v="81"/>
    <x v="2"/>
  </r>
  <r>
    <s v="1-44279757"/>
    <x v="1"/>
    <d v="2025-12-22T16:31:00"/>
    <d v="2025-12-22T16:31:00"/>
    <x v="0"/>
    <x v="2"/>
  </r>
  <r>
    <s v="1-44279757"/>
    <x v="1"/>
    <d v="2025-12-23T07:32:00"/>
    <d v="2025-12-23T07:32:00"/>
    <x v="0"/>
    <x v="2"/>
  </r>
  <r>
    <s v="1-44279757"/>
    <x v="1"/>
    <d v="2025-12-23T17:10:00"/>
    <d v="2025-12-23T17:10:00"/>
    <x v="0"/>
    <x v="2"/>
  </r>
  <r>
    <s v="1-44279757"/>
    <x v="1"/>
    <d v="2025-12-24T05:59:00"/>
    <d v="2025-12-24T06:46:00"/>
    <x v="82"/>
    <x v="2"/>
  </r>
  <r>
    <s v="1-44279757"/>
    <x v="1"/>
    <d v="2025-12-24T14:09:00"/>
    <d v="2025-12-24T14:09:00"/>
    <x v="0"/>
    <x v="2"/>
  </r>
  <r>
    <s v="1-44279757"/>
    <x v="1"/>
    <d v="2025-12-29T07:35:00"/>
    <d v="2025-12-29T07:58:00"/>
    <x v="7"/>
    <x v="2"/>
  </r>
  <r>
    <s v="1-44279757"/>
    <x v="1"/>
    <d v="2025-12-29T16:25:00"/>
    <d v="2025-12-29T16:25:00"/>
    <x v="0"/>
    <x v="2"/>
  </r>
  <r>
    <s v="1-44279757"/>
    <x v="1"/>
    <d v="2025-12-30T07:28:00"/>
    <d v="2025-12-30T07:28:00"/>
    <x v="0"/>
    <x v="2"/>
  </r>
  <r>
    <s v="1-44279757"/>
    <x v="1"/>
    <d v="2025-12-30T18:29:00"/>
    <d v="2025-12-30T18:29:00"/>
    <x v="0"/>
    <x v="2"/>
  </r>
  <r>
    <s v="1-44279757"/>
    <x v="1"/>
    <d v="2025-12-31T05:56:00"/>
    <d v="2025-12-31T08:06:00"/>
    <x v="83"/>
    <x v="2"/>
  </r>
  <r>
    <s v="1-31472794"/>
    <x v="2"/>
    <d v="2025-12-01T07:47:00"/>
    <d v="2025-12-01T16:30:00"/>
    <x v="84"/>
    <x v="2"/>
  </r>
  <r>
    <s v="1-31472794"/>
    <x v="2"/>
    <d v="2025-12-02T07:28:00"/>
    <d v="2025-12-02T08:25:00"/>
    <x v="85"/>
    <x v="2"/>
  </r>
  <r>
    <s v="1-31472794"/>
    <x v="2"/>
    <d v="2025-12-02T16:29:00"/>
    <d v="2025-12-02T16:29:00"/>
    <x v="0"/>
    <x v="2"/>
  </r>
  <r>
    <s v="1-31472794"/>
    <x v="2"/>
    <d v="2025-12-04T07:39:00"/>
    <d v="2025-12-04T08:09:00"/>
    <x v="24"/>
    <x v="2"/>
  </r>
  <r>
    <s v="1-31472794"/>
    <x v="2"/>
    <d v="2025-12-04T11:31:00"/>
    <d v="2025-12-04T13:24:00"/>
    <x v="86"/>
    <x v="2"/>
  </r>
  <r>
    <s v="1-31472794"/>
    <x v="2"/>
    <d v="2025-12-04T16:30:00"/>
    <d v="2025-12-04T16:30:00"/>
    <x v="0"/>
    <x v="2"/>
  </r>
  <r>
    <s v="1-31472794"/>
    <x v="2"/>
    <m/>
    <m/>
    <x v="0"/>
    <x v="2"/>
  </r>
  <r>
    <s v="1-31472794"/>
    <x v="2"/>
    <d v="2025-12-05T07:45:00"/>
    <d v="2025-12-05T08:13:00"/>
    <x v="32"/>
    <x v="2"/>
  </r>
  <r>
    <s v="1-31472794"/>
    <x v="2"/>
    <d v="2025-12-09T07:31:00"/>
    <d v="2025-12-09T08:56:00"/>
    <x v="87"/>
    <x v="2"/>
  </r>
  <r>
    <s v="1-31472794"/>
    <x v="2"/>
    <d v="2025-12-09T11:39:00"/>
    <d v="2025-12-09T12:35:00"/>
    <x v="68"/>
    <x v="2"/>
  </r>
  <r>
    <s v="1-31472794"/>
    <x v="2"/>
    <d v="2025-12-09T16:34:00"/>
    <d v="2025-12-09T16:34:00"/>
    <x v="0"/>
    <x v="2"/>
  </r>
  <r>
    <s v="1-31472794"/>
    <x v="2"/>
    <d v="2025-12-11T07:25:00"/>
    <d v="2025-12-11T09:08:00"/>
    <x v="40"/>
    <x v="2"/>
  </r>
  <r>
    <s v="1-31472794"/>
    <x v="2"/>
    <d v="2025-12-11T10:19:00"/>
    <d v="2025-12-11T13:41:00"/>
    <x v="88"/>
    <x v="2"/>
  </r>
  <r>
    <s v="1-31472794"/>
    <x v="2"/>
    <d v="2025-12-11T15:12:00"/>
    <d v="2025-12-11T16:36:00"/>
    <x v="60"/>
    <x v="2"/>
  </r>
  <r>
    <s v="1-31472794"/>
    <x v="2"/>
    <d v="2025-12-12T07:31:00"/>
    <d v="2025-12-12T07:43:00"/>
    <x v="89"/>
    <x v="2"/>
  </r>
  <r>
    <s v="1-31472794"/>
    <x v="2"/>
    <d v="2025-12-12T11:59:00"/>
    <d v="2025-12-12T13:14:00"/>
    <x v="29"/>
    <x v="2"/>
  </r>
  <r>
    <s v="1-31472794"/>
    <x v="2"/>
    <d v="2025-12-12T16:19:00"/>
    <d v="2025-12-12T16:19:00"/>
    <x v="0"/>
    <x v="2"/>
  </r>
  <r>
    <s v="1-31472794"/>
    <x v="2"/>
    <d v="2025-12-15T07:23:00"/>
    <d v="2025-12-15T08:13:00"/>
    <x v="10"/>
    <x v="2"/>
  </r>
  <r>
    <s v="1-31472794"/>
    <x v="2"/>
    <d v="2025-12-15T12:33:00"/>
    <d v="2025-12-15T13:28:00"/>
    <x v="31"/>
    <x v="2"/>
  </r>
  <r>
    <s v="1-31472794"/>
    <x v="2"/>
    <d v="2025-12-15T16:33:00"/>
    <d v="2025-12-15T16:33:00"/>
    <x v="0"/>
    <x v="2"/>
  </r>
  <r>
    <s v="1-31472794"/>
    <x v="2"/>
    <d v="2025-12-16T07:27:00"/>
    <d v="2025-12-16T08:12:00"/>
    <x v="90"/>
    <x v="2"/>
  </r>
  <r>
    <s v="1-31472794"/>
    <x v="2"/>
    <d v="2025-12-16T11:35:00"/>
    <d v="2025-12-16T13:05:00"/>
    <x v="91"/>
    <x v="2"/>
  </r>
  <r>
    <s v="1-31472794"/>
    <x v="2"/>
    <d v="2025-12-16T16:29:00"/>
    <d v="2025-12-16T16:33:00"/>
    <x v="58"/>
    <x v="2"/>
  </r>
  <r>
    <s v="1-31472794"/>
    <x v="2"/>
    <d v="2025-12-18T13:40:00"/>
    <d v="2025-12-18T16:33:00"/>
    <x v="92"/>
    <x v="2"/>
  </r>
  <r>
    <s v="1-31472794"/>
    <x v="2"/>
    <d v="2025-12-19T05:56:00"/>
    <d v="2025-12-19T13:54:00"/>
    <x v="93"/>
    <x v="2"/>
  </r>
  <r>
    <s v="1-31472794"/>
    <x v="2"/>
    <d v="2025-12-22T07:29:00"/>
    <d v="2025-12-22T14:31:00"/>
    <x v="94"/>
    <x v="2"/>
  </r>
  <r>
    <s v="1-31472794"/>
    <x v="2"/>
    <d v="2025-12-22T16:31:00"/>
    <d v="2025-12-22T16:31:00"/>
    <x v="0"/>
    <x v="2"/>
  </r>
  <r>
    <s v="1-31472794"/>
    <x v="2"/>
    <d v="2025-12-24T06:05:00"/>
    <d v="2025-12-24T06:50:00"/>
    <x v="90"/>
    <x v="2"/>
  </r>
  <r>
    <s v="1-31472794"/>
    <x v="2"/>
    <d v="2025-12-24T14:11:00"/>
    <d v="2025-12-24T14:11:00"/>
    <x v="0"/>
    <x v="2"/>
  </r>
  <r>
    <s v="1-31472794"/>
    <x v="2"/>
    <d v="2025-12-29T07:31:00"/>
    <d v="2025-12-29T07:58:00"/>
    <x v="47"/>
    <x v="2"/>
  </r>
  <r>
    <s v="1-31472794"/>
    <x v="2"/>
    <d v="2025-12-29T16:26:00"/>
    <d v="2025-12-29T16:26:00"/>
    <x v="0"/>
    <x v="2"/>
  </r>
  <r>
    <s v="1-31472794"/>
    <x v="2"/>
    <d v="2025-12-31T06:03:00"/>
    <d v="2025-12-31T08:06:00"/>
    <x v="95"/>
    <x v="2"/>
  </r>
  <r>
    <s v="1-31472794"/>
    <x v="2"/>
    <m/>
    <d v="2025-12-31T15:37:00"/>
    <x v="0"/>
    <x v="2"/>
  </r>
  <r>
    <s v="1-22233614"/>
    <x v="3"/>
    <d v="2025-12-01T07:48:00"/>
    <d v="2025-12-01T10:30:00"/>
    <x v="96"/>
    <x v="2"/>
  </r>
  <r>
    <s v="1-22233614"/>
    <x v="3"/>
    <d v="2025-12-01T11:34:00"/>
    <d v="2025-12-01T16:31:00"/>
    <x v="97"/>
    <x v="2"/>
  </r>
  <r>
    <s v="1-22233614"/>
    <x v="3"/>
    <d v="2025-12-02T07:28:00"/>
    <d v="2025-12-02T08:27:00"/>
    <x v="98"/>
    <x v="2"/>
  </r>
  <r>
    <s v="1-22233614"/>
    <x v="3"/>
    <d v="2025-12-02T09:53:00"/>
    <d v="2025-12-02T13:51:00"/>
    <x v="99"/>
    <x v="2"/>
  </r>
  <r>
    <s v="1-22233614"/>
    <x v="3"/>
    <d v="2025-12-02T15:00:00"/>
    <d v="2025-12-02T16:41:00"/>
    <x v="100"/>
    <x v="2"/>
  </r>
  <r>
    <s v="1-22233614"/>
    <x v="3"/>
    <d v="2025-12-04T07:39:00"/>
    <d v="2025-12-04T09:33:00"/>
    <x v="101"/>
    <x v="2"/>
  </r>
  <r>
    <s v="1-22233614"/>
    <x v="3"/>
    <d v="2025-12-04T11:31:00"/>
    <d v="2025-12-04T16:34:00"/>
    <x v="102"/>
    <x v="2"/>
  </r>
  <r>
    <s v="1-22233614"/>
    <x v="3"/>
    <d v="2025-12-09T07:31:00"/>
    <d v="2025-12-09T09:31:00"/>
    <x v="103"/>
    <x v="2"/>
  </r>
  <r>
    <s v="1-22233614"/>
    <x v="3"/>
    <d v="2025-12-09T12:02:00"/>
    <d v="2025-12-09T13:24:00"/>
    <x v="104"/>
    <x v="2"/>
  </r>
  <r>
    <s v="1-22233614"/>
    <x v="3"/>
    <m/>
    <d v="2025-12-09T16:34:00"/>
    <x v="0"/>
    <x v="2"/>
  </r>
  <r>
    <s v="1-22233614"/>
    <x v="3"/>
    <d v="2025-12-11T07:25:00"/>
    <d v="2025-12-11T08:14:00"/>
    <x v="35"/>
    <x v="2"/>
  </r>
  <r>
    <s v="1-22233614"/>
    <x v="3"/>
    <d v="2025-12-11T16:47:00"/>
    <d v="2025-12-11T16:56:00"/>
    <x v="2"/>
    <x v="2"/>
  </r>
  <r>
    <s v="1-22233614"/>
    <x v="3"/>
    <d v="2025-12-15T07:23:00"/>
    <d v="2025-12-15T09:10:00"/>
    <x v="34"/>
    <x v="2"/>
  </r>
  <r>
    <s v="1-22233614"/>
    <x v="3"/>
    <d v="2025-12-15T13:46:00"/>
    <d v="2025-12-15T14:48:00"/>
    <x v="105"/>
    <x v="2"/>
  </r>
  <r>
    <s v="1-22233614"/>
    <x v="3"/>
    <m/>
    <d v="2025-12-15T16:33:00"/>
    <x v="0"/>
    <x v="2"/>
  </r>
  <r>
    <s v="1-22233614"/>
    <x v="3"/>
    <d v="2025-12-16T07:27:00"/>
    <d v="2025-12-16T08:15:00"/>
    <x v="106"/>
    <x v="2"/>
  </r>
  <r>
    <s v="1-22233614"/>
    <x v="3"/>
    <m/>
    <d v="2025-12-16T17:16:00"/>
    <x v="0"/>
    <x v="2"/>
  </r>
  <r>
    <s v="1-22233614"/>
    <x v="3"/>
    <d v="2025-12-18T15:30:00"/>
    <d v="2025-12-18T16:32:00"/>
    <x v="105"/>
    <x v="2"/>
  </r>
  <r>
    <s v="1-22233614"/>
    <x v="3"/>
    <d v="2025-12-22T07:29:00"/>
    <d v="2025-12-22T14:58:00"/>
    <x v="107"/>
    <x v="2"/>
  </r>
  <r>
    <s v="1-22233614"/>
    <x v="3"/>
    <d v="2025-12-24T06:05:00"/>
    <d v="2025-12-24T13:44:00"/>
    <x v="108"/>
    <x v="2"/>
  </r>
  <r>
    <s v="1-22233614"/>
    <x v="3"/>
    <d v="2025-12-29T07:31:00"/>
    <d v="2025-12-29T08:09:00"/>
    <x v="1"/>
    <x v="2"/>
  </r>
  <r>
    <s v="1-22233614"/>
    <x v="3"/>
    <d v="2025-12-29T13:01:00"/>
    <d v="2025-12-29T16:34:00"/>
    <x v="109"/>
    <x v="2"/>
  </r>
  <r>
    <s v="1-22233614"/>
    <x v="3"/>
    <d v="2025-12-31T06:03:00"/>
    <d v="2025-12-31T09:35:00"/>
    <x v="110"/>
    <x v="2"/>
  </r>
  <r>
    <s v="1-22233614"/>
    <x v="3"/>
    <m/>
    <d v="2025-12-31T15:37:00"/>
    <x v="0"/>
    <x v="2"/>
  </r>
  <r>
    <s v="1-20297614"/>
    <x v="7"/>
    <d v="2025-12-01T07:30:00"/>
    <d v="2025-12-01T08:19:00"/>
    <x v="35"/>
    <x v="2"/>
  </r>
  <r>
    <s v="1-20297614"/>
    <x v="7"/>
    <d v="2025-12-01T11:43:00"/>
    <d v="2025-12-01T16:30:00"/>
    <x v="111"/>
    <x v="2"/>
  </r>
  <r>
    <s v="1-20297614"/>
    <x v="7"/>
    <d v="2025-12-02T07:29:00"/>
    <d v="2025-12-02T16:24:00"/>
    <x v="112"/>
    <x v="2"/>
  </r>
  <r>
    <s v="1-20297614"/>
    <x v="7"/>
    <m/>
    <d v="2025-12-03T07:29:00"/>
    <x v="0"/>
    <x v="2"/>
  </r>
  <r>
    <s v="1-20297614"/>
    <x v="7"/>
    <d v="2025-12-03T15:43:00"/>
    <d v="2025-12-03T16:32:00"/>
    <x v="35"/>
    <x v="2"/>
  </r>
  <r>
    <s v="1-20297614"/>
    <x v="7"/>
    <d v="2025-12-04T07:26:00"/>
    <d v="2025-12-04T08:02:00"/>
    <x v="11"/>
    <x v="2"/>
  </r>
  <r>
    <s v="1-20297614"/>
    <x v="7"/>
    <m/>
    <d v="2025-12-04T16:27:00"/>
    <x v="0"/>
    <x v="2"/>
  </r>
  <r>
    <s v="1-20297614"/>
    <x v="7"/>
    <d v="2025-12-05T07:30:00"/>
    <d v="2025-12-05T08:25:00"/>
    <x v="31"/>
    <x v="2"/>
  </r>
  <r>
    <s v="1-20297614"/>
    <x v="7"/>
    <m/>
    <d v="2025-12-05T16:31:00"/>
    <x v="0"/>
    <x v="2"/>
  </r>
  <r>
    <s v="1-20297614"/>
    <x v="7"/>
    <d v="2025-12-09T07:33:00"/>
    <d v="2025-12-09T12:35:00"/>
    <x v="113"/>
    <x v="2"/>
  </r>
  <r>
    <s v="1-20297614"/>
    <x v="7"/>
    <m/>
    <d v="2025-12-09T16:31:00"/>
    <x v="0"/>
    <x v="2"/>
  </r>
  <r>
    <s v="1-20297614"/>
    <x v="7"/>
    <d v="2025-12-10T07:39:00"/>
    <d v="2025-12-10T08:15:00"/>
    <x v="11"/>
    <x v="2"/>
  </r>
  <r>
    <s v="1-20297614"/>
    <x v="7"/>
    <d v="2025-12-10T12:17:00"/>
    <d v="2025-12-10T13:11:00"/>
    <x v="73"/>
    <x v="2"/>
  </r>
  <r>
    <s v="1-20297614"/>
    <x v="7"/>
    <m/>
    <d v="2025-12-10T16:31:00"/>
    <x v="0"/>
    <x v="2"/>
  </r>
  <r>
    <s v="1-20297614"/>
    <x v="7"/>
    <d v="2025-12-11T07:30:00"/>
    <d v="2025-12-11T08:07:00"/>
    <x v="72"/>
    <x v="2"/>
  </r>
  <r>
    <s v="1-20297614"/>
    <x v="7"/>
    <d v="2025-12-11T11:43:00"/>
    <d v="2025-12-11T13:07:00"/>
    <x v="60"/>
    <x v="2"/>
  </r>
  <r>
    <s v="1-20297614"/>
    <x v="7"/>
    <m/>
    <d v="2025-12-11T16:29:00"/>
    <x v="0"/>
    <x v="2"/>
  </r>
  <r>
    <s v="1-20297614"/>
    <x v="7"/>
    <d v="2025-12-12T07:37:00"/>
    <d v="2025-12-12T07:42:00"/>
    <x v="75"/>
    <x v="2"/>
  </r>
  <r>
    <s v="1-20297614"/>
    <x v="7"/>
    <d v="2025-12-12T12:01:00"/>
    <d v="2025-12-12T13:09:00"/>
    <x v="114"/>
    <x v="2"/>
  </r>
  <r>
    <s v="1-20297614"/>
    <x v="7"/>
    <m/>
    <d v="2025-12-12T16:18:00"/>
    <x v="0"/>
    <x v="2"/>
  </r>
  <r>
    <s v="1-20297614"/>
    <x v="7"/>
    <d v="2025-12-15T07:29:00"/>
    <d v="2025-12-15T08:12:00"/>
    <x v="76"/>
    <x v="2"/>
  </r>
  <r>
    <s v="1-20297614"/>
    <x v="7"/>
    <d v="2025-12-15T12:33:00"/>
    <d v="2025-12-15T13:28:00"/>
    <x v="31"/>
    <x v="2"/>
  </r>
  <r>
    <s v="1-20297614"/>
    <x v="7"/>
    <m/>
    <d v="2025-12-15T16:33:00"/>
    <x v="0"/>
    <x v="2"/>
  </r>
  <r>
    <s v="1-20297614"/>
    <x v="7"/>
    <d v="2025-12-16T07:29:00"/>
    <d v="2025-12-16T08:13:00"/>
    <x v="56"/>
    <x v="2"/>
  </r>
  <r>
    <s v="1-20297614"/>
    <x v="7"/>
    <m/>
    <d v="2025-12-16T17:03:00"/>
    <x v="0"/>
    <x v="2"/>
  </r>
  <r>
    <s v="1-20297614"/>
    <x v="7"/>
    <d v="2025-12-17T07:28:00"/>
    <d v="2025-12-17T07:34:00"/>
    <x v="115"/>
    <x v="2"/>
  </r>
  <r>
    <s v="1-20297614"/>
    <x v="7"/>
    <d v="2025-12-18T07:30:00"/>
    <d v="2025-12-18T08:08:00"/>
    <x v="1"/>
    <x v="2"/>
  </r>
  <r>
    <s v="1-20297614"/>
    <x v="7"/>
    <d v="2025-12-18T11:01:00"/>
    <d v="2025-12-18T13:16:00"/>
    <x v="116"/>
    <x v="2"/>
  </r>
  <r>
    <s v="1-20297614"/>
    <x v="7"/>
    <d v="2025-12-18T16:28:00"/>
    <d v="2025-12-18T16:30:00"/>
    <x v="74"/>
    <x v="2"/>
  </r>
  <r>
    <s v="1-20297614"/>
    <x v="7"/>
    <d v="2025-12-19T05:54:00"/>
    <d v="2025-12-19T09:31:00"/>
    <x v="117"/>
    <x v="2"/>
  </r>
  <r>
    <s v="1-20297614"/>
    <x v="7"/>
    <d v="2025-12-19T11:47:00"/>
    <d v="2025-12-19T13:54:00"/>
    <x v="118"/>
    <x v="2"/>
  </r>
  <r>
    <s v="1-20297614"/>
    <x v="7"/>
    <d v="2025-12-22T07:30:00"/>
    <d v="2025-12-22T08:04:00"/>
    <x v="49"/>
    <x v="2"/>
  </r>
  <r>
    <s v="1-20297614"/>
    <x v="7"/>
    <d v="2025-12-22T08:12:00"/>
    <d v="2025-12-22T10:05:00"/>
    <x v="86"/>
    <x v="2"/>
  </r>
  <r>
    <s v="1-20297614"/>
    <x v="7"/>
    <d v="2025-12-22T10:48:00"/>
    <d v="2025-12-22T16:31:00"/>
    <x v="119"/>
    <x v="2"/>
  </r>
  <r>
    <s v="1-20297614"/>
    <x v="7"/>
    <d v="2025-12-23T07:33:00"/>
    <d v="2025-12-23T08:06:00"/>
    <x v="120"/>
    <x v="2"/>
  </r>
  <r>
    <s v="1-20297614"/>
    <x v="7"/>
    <d v="2025-12-23T15:53:00"/>
    <d v="2025-12-23T16:32:00"/>
    <x v="121"/>
    <x v="2"/>
  </r>
  <r>
    <s v="1-20297614"/>
    <x v="7"/>
    <d v="2025-12-24T05:59:00"/>
    <d v="2025-12-24T13:47:00"/>
    <x v="19"/>
    <x v="2"/>
  </r>
  <r>
    <s v="1-20297614"/>
    <x v="7"/>
    <d v="2025-12-29T07:36:00"/>
    <d v="2025-12-29T07:49:00"/>
    <x v="3"/>
    <x v="2"/>
  </r>
  <r>
    <s v="1-20297614"/>
    <x v="7"/>
    <d v="2025-12-29T09:54:00"/>
    <d v="2025-12-29T16:28:00"/>
    <x v="122"/>
    <x v="2"/>
  </r>
  <r>
    <s v="1-20297614"/>
    <x v="7"/>
    <d v="2025-12-30T07:28:00"/>
    <d v="2025-12-30T07:52:00"/>
    <x v="30"/>
    <x v="2"/>
  </r>
  <r>
    <s v="1-20297614"/>
    <x v="7"/>
    <d v="2025-12-30T10:06:00"/>
    <d v="2025-12-30T16:26:00"/>
    <x v="123"/>
    <x v="2"/>
  </r>
  <r>
    <s v="1-20297614"/>
    <x v="7"/>
    <d v="2025-12-31T05:56:00"/>
    <d v="2025-12-31T11:21:00"/>
    <x v="124"/>
    <x v="2"/>
  </r>
  <r>
    <s v="1-37718801"/>
    <x v="4"/>
    <d v="2025-12-01T07:29:00"/>
    <d v="2025-12-01T08:19:00"/>
    <x v="10"/>
    <x v="2"/>
  </r>
  <r>
    <s v="1-37718801"/>
    <x v="4"/>
    <d v="2025-12-01T11:43:00"/>
    <d v="2025-12-01T16:30:00"/>
    <x v="111"/>
    <x v="2"/>
  </r>
  <r>
    <s v="1-37718801"/>
    <x v="4"/>
    <d v="2025-12-02T07:29:00"/>
    <d v="2025-12-02T16:24:00"/>
    <x v="112"/>
    <x v="2"/>
  </r>
  <r>
    <s v="1-37718801"/>
    <x v="4"/>
    <d v="2025-12-03T07:26:00"/>
    <d v="2025-12-03T07:29:00"/>
    <x v="52"/>
    <x v="2"/>
  </r>
  <r>
    <s v="1-37718801"/>
    <x v="4"/>
    <m/>
    <d v="2025-12-03T16:27:00"/>
    <x v="0"/>
    <x v="2"/>
  </r>
  <r>
    <s v="1-37718801"/>
    <x v="4"/>
    <d v="2025-12-04T07:26:00"/>
    <d v="2025-12-04T08:02:00"/>
    <x v="11"/>
    <x v="2"/>
  </r>
  <r>
    <s v="1-37718801"/>
    <x v="4"/>
    <m/>
    <d v="2025-12-04T16:27:00"/>
    <x v="0"/>
    <x v="2"/>
  </r>
  <r>
    <s v="1-37718801"/>
    <x v="4"/>
    <d v="2025-12-05T07:33:00"/>
    <d v="2025-12-05T07:36:00"/>
    <x v="52"/>
    <x v="2"/>
  </r>
  <r>
    <s v="1-37718801"/>
    <x v="4"/>
    <d v="2025-12-05T07:45:00"/>
    <d v="2025-12-05T08:25:00"/>
    <x v="69"/>
    <x v="2"/>
  </r>
  <r>
    <s v="1-37718801"/>
    <x v="4"/>
    <d v="2025-12-05T16:08:00"/>
    <d v="2025-12-05T16:43:00"/>
    <x v="48"/>
    <x v="2"/>
  </r>
  <r>
    <s v="1-37718801"/>
    <x v="4"/>
    <d v="2025-12-09T07:30:00"/>
    <d v="2025-12-09T12:46:00"/>
    <x v="125"/>
    <x v="2"/>
  </r>
  <r>
    <s v="1-37718801"/>
    <x v="4"/>
    <m/>
    <d v="2025-12-09T16:31:00"/>
    <x v="0"/>
    <x v="2"/>
  </r>
  <r>
    <s v="1-37718801"/>
    <x v="4"/>
    <d v="2025-12-10T07:24:00"/>
    <d v="2025-12-10T07:28:00"/>
    <x v="58"/>
    <x v="2"/>
  </r>
  <r>
    <s v="1-37718801"/>
    <x v="4"/>
    <m/>
    <d v="2025-12-10T16:35:00"/>
    <x v="0"/>
    <x v="2"/>
  </r>
  <r>
    <s v="1-37718801"/>
    <x v="4"/>
    <d v="2025-12-11T07:26:00"/>
    <d v="2025-12-11T08:04:00"/>
    <x v="1"/>
    <x v="2"/>
  </r>
  <r>
    <s v="1-37718801"/>
    <x v="4"/>
    <d v="2025-12-12T07:31:00"/>
    <d v="2025-12-12T07:42:00"/>
    <x v="126"/>
    <x v="2"/>
  </r>
  <r>
    <s v="1-37718801"/>
    <x v="4"/>
    <d v="2025-12-12T12:01:00"/>
    <d v="2025-12-12T13:08:00"/>
    <x v="71"/>
    <x v="2"/>
  </r>
  <r>
    <s v="1-37718801"/>
    <x v="4"/>
    <m/>
    <d v="2025-12-12T16:18:00"/>
    <x v="0"/>
    <x v="2"/>
  </r>
  <r>
    <s v="1-37718801"/>
    <x v="4"/>
    <d v="2025-12-15T07:31:00"/>
    <d v="2025-12-15T08:12:00"/>
    <x v="55"/>
    <x v="2"/>
  </r>
  <r>
    <s v="1-37718801"/>
    <x v="4"/>
    <d v="2025-12-15T12:33:00"/>
    <d v="2025-12-15T13:28:00"/>
    <x v="31"/>
    <x v="2"/>
  </r>
  <r>
    <s v="1-37718801"/>
    <x v="4"/>
    <d v="2025-12-16T07:27:00"/>
    <d v="2025-12-16T08:12:00"/>
    <x v="90"/>
    <x v="2"/>
  </r>
  <r>
    <s v="1-37718801"/>
    <x v="4"/>
    <d v="2025-12-16T09:40:00"/>
    <d v="2025-12-16T16:27:00"/>
    <x v="127"/>
    <x v="2"/>
  </r>
  <r>
    <s v="1-37718801"/>
    <x v="4"/>
    <d v="2025-12-17T07:28:00"/>
    <d v="2025-12-17T07:33:00"/>
    <x v="75"/>
    <x v="2"/>
  </r>
  <r>
    <s v="1-37718801"/>
    <x v="4"/>
    <d v="2025-12-18T07:27:00"/>
    <d v="2025-12-18T08:09:00"/>
    <x v="26"/>
    <x v="2"/>
  </r>
  <r>
    <s v="1-37718801"/>
    <x v="4"/>
    <d v="2025-12-18T11:17:00"/>
    <d v="2025-12-18T12:59:00"/>
    <x v="128"/>
    <x v="2"/>
  </r>
  <r>
    <s v="1-37718801"/>
    <x v="4"/>
    <m/>
    <d v="2025-12-19T06:01:00"/>
    <x v="0"/>
    <x v="2"/>
  </r>
  <r>
    <s v="1-37718801"/>
    <x v="4"/>
    <d v="2025-12-22T07:28:00"/>
    <d v="2025-12-22T08:04:00"/>
    <x v="11"/>
    <x v="2"/>
  </r>
  <r>
    <s v="1-37718801"/>
    <x v="4"/>
    <d v="2025-12-22T12:12:00"/>
    <d v="2025-12-22T13:36:00"/>
    <x v="60"/>
    <x v="2"/>
  </r>
  <r>
    <s v="1-37718801"/>
    <x v="4"/>
    <d v="2025-12-23T07:22:00"/>
    <d v="2025-12-23T07:33:00"/>
    <x v="126"/>
    <x v="2"/>
  </r>
  <r>
    <s v="1-37718801"/>
    <x v="4"/>
    <m/>
    <d v="2025-12-23T17:10:00"/>
    <x v="0"/>
    <x v="2"/>
  </r>
  <r>
    <s v="1-37718801"/>
    <x v="4"/>
    <d v="2025-12-24T06:10:00"/>
    <d v="2025-12-24T13:47:00"/>
    <x v="129"/>
    <x v="2"/>
  </r>
  <r>
    <s v="1-37718801"/>
    <x v="4"/>
    <d v="2025-12-29T07:27:00"/>
    <d v="2025-12-29T07:58:00"/>
    <x v="12"/>
    <x v="2"/>
  </r>
  <r>
    <s v="1-37718801"/>
    <x v="4"/>
    <d v="2025-12-29T10:56:00"/>
    <d v="2025-12-29T13:34:00"/>
    <x v="130"/>
    <x v="2"/>
  </r>
  <r>
    <s v="1-37718801"/>
    <x v="4"/>
    <m/>
    <d v="2025-12-29T16:26:00"/>
    <x v="0"/>
    <x v="2"/>
  </r>
  <r>
    <s v="1-37718801"/>
    <x v="4"/>
    <d v="2025-12-30T07:30:00"/>
    <d v="2025-12-30T07:52:00"/>
    <x v="17"/>
    <x v="2"/>
  </r>
  <r>
    <s v="1-37718801"/>
    <x v="4"/>
    <d v="2025-12-30T10:06:00"/>
    <d v="2025-12-30T16:26:00"/>
    <x v="123"/>
    <x v="2"/>
  </r>
  <r>
    <s v="1-37718801"/>
    <x v="4"/>
    <d v="2025-12-31T06:00:00"/>
    <d v="2025-12-31T08:06:00"/>
    <x v="131"/>
    <x v="2"/>
  </r>
  <r>
    <s v="1-37591299"/>
    <x v="5"/>
    <d v="2025-12-02T07:21:00"/>
    <d v="2025-12-02T08:53:00"/>
    <x v="25"/>
    <x v="2"/>
  </r>
  <r>
    <s v="1-37591299"/>
    <x v="5"/>
    <d v="2025-12-03T07:26:00"/>
    <d v="2025-12-03T08:08:00"/>
    <x v="26"/>
    <x v="2"/>
  </r>
  <r>
    <s v="1-37591299"/>
    <x v="5"/>
    <d v="2025-12-03T16:02:00"/>
    <d v="2025-12-03T16:31:00"/>
    <x v="132"/>
    <x v="2"/>
  </r>
  <r>
    <s v="1-37591299"/>
    <x v="5"/>
    <d v="2025-12-05T07:21:00"/>
    <d v="2025-12-05T08:26:00"/>
    <x v="54"/>
    <x v="2"/>
  </r>
  <r>
    <s v="1-37591299"/>
    <x v="5"/>
    <d v="2025-12-09T07:15:00"/>
    <d v="2025-12-09T10:41:00"/>
    <x v="133"/>
    <x v="2"/>
  </r>
  <r>
    <s v="1-37591299"/>
    <x v="5"/>
    <d v="2025-12-15T07:24:00"/>
    <d v="2025-12-15T08:16:00"/>
    <x v="38"/>
    <x v="2"/>
  </r>
  <r>
    <s v="1-37591299"/>
    <x v="5"/>
    <m/>
    <d v="2025-12-15T16:38:00"/>
    <x v="0"/>
    <x v="2"/>
  </r>
  <r>
    <s v="1-37591299"/>
    <x v="5"/>
    <d v="2025-12-16T07:29:00"/>
    <d v="2025-12-16T08:17:00"/>
    <x v="106"/>
    <x v="2"/>
  </r>
  <r>
    <s v="1-37591299"/>
    <x v="5"/>
    <d v="2025-12-16T11:58:00"/>
    <d v="2025-12-16T13:12:00"/>
    <x v="134"/>
    <x v="2"/>
  </r>
  <r>
    <s v="1-37591299"/>
    <x v="5"/>
    <m/>
    <d v="2025-12-16T17:02:00"/>
    <x v="0"/>
    <x v="2"/>
  </r>
  <r>
    <s v="1-37591299"/>
    <x v="5"/>
    <d v="2025-12-18T07:31:00"/>
    <d v="2025-12-18T08:08:00"/>
    <x v="72"/>
    <x v="2"/>
  </r>
  <r>
    <s v="1-37591299"/>
    <x v="5"/>
    <d v="2025-12-18T11:02:00"/>
    <d v="2025-12-18T13:00:00"/>
    <x v="135"/>
    <x v="2"/>
  </r>
  <r>
    <s v="1-37591299"/>
    <x v="5"/>
    <d v="2025-12-18T16:28:00"/>
    <d v="2025-12-18T16:30:00"/>
    <x v="74"/>
    <x v="2"/>
  </r>
  <r>
    <s v="1-37591299"/>
    <x v="5"/>
    <d v="2025-12-19T05:53:00"/>
    <d v="2025-12-19T09:37:00"/>
    <x v="136"/>
    <x v="2"/>
  </r>
  <r>
    <s v="1-37591299"/>
    <x v="5"/>
    <d v="2025-12-19T11:32:00"/>
    <d v="2025-12-19T13:23:00"/>
    <x v="137"/>
    <x v="2"/>
  </r>
  <r>
    <s v="1-37591299"/>
    <x v="5"/>
    <d v="2025-12-24T05:54:00"/>
    <d v="2025-12-24T13:17:00"/>
    <x v="138"/>
    <x v="2"/>
  </r>
  <r>
    <s v="1-37591299"/>
    <x v="5"/>
    <d v="2025-12-30T07:23:00"/>
    <d v="2025-12-30T07:52:00"/>
    <x v="132"/>
    <x v="2"/>
  </r>
  <r>
    <s v="1-37591299"/>
    <x v="5"/>
    <d v="2025-12-31T05:47:00"/>
    <d v="2025-12-31T08:09:00"/>
    <x v="139"/>
    <x v="2"/>
  </r>
  <r>
    <s v="1-34453345"/>
    <x v="6"/>
    <d v="2025-12-01T07:31:00"/>
    <d v="2025-12-01T10:28:00"/>
    <x v="140"/>
    <x v="2"/>
  </r>
  <r>
    <s v="1-34453345"/>
    <x v="6"/>
    <d v="2025-12-01T11:34:00"/>
    <d v="2025-12-01T16:12:00"/>
    <x v="141"/>
    <x v="2"/>
  </r>
  <r>
    <s v="1-34453345"/>
    <x v="6"/>
    <d v="2025-12-02T07:31:00"/>
    <d v="2025-12-02T08:25:00"/>
    <x v="73"/>
    <x v="2"/>
  </r>
  <r>
    <s v="1-34453345"/>
    <x v="6"/>
    <d v="2025-12-02T09:51:00"/>
    <d v="2025-12-02T13:54:00"/>
    <x v="142"/>
    <x v="2"/>
  </r>
  <r>
    <s v="1-34453345"/>
    <x v="6"/>
    <d v="2025-12-02T15:00:00"/>
    <d v="2025-12-02T16:41:00"/>
    <x v="100"/>
    <x v="2"/>
  </r>
  <r>
    <s v="1-34453345"/>
    <x v="6"/>
    <d v="2025-12-03T07:29:00"/>
    <d v="2025-12-03T08:08:00"/>
    <x v="121"/>
    <x v="2"/>
  </r>
  <r>
    <s v="1-34453345"/>
    <x v="6"/>
    <d v="2025-12-03T15:43:00"/>
    <d v="2025-12-03T16:32:00"/>
    <x v="35"/>
    <x v="2"/>
  </r>
  <r>
    <s v="1-34453345"/>
    <x v="6"/>
    <d v="2025-12-04T07:26:00"/>
    <d v="2025-12-04T08:06:00"/>
    <x v="69"/>
    <x v="2"/>
  </r>
  <r>
    <s v="1-34453345"/>
    <x v="6"/>
    <d v="2025-12-04T11:31:00"/>
    <d v="2025-12-04T13:24:00"/>
    <x v="86"/>
    <x v="2"/>
  </r>
  <r>
    <s v="1-34453345"/>
    <x v="6"/>
    <d v="2025-12-04T16:30:00"/>
    <d v="2025-12-04T16:34:00"/>
    <x v="58"/>
    <x v="2"/>
  </r>
  <r>
    <s v="1-34453345"/>
    <x v="6"/>
    <d v="2025-12-05T07:30:00"/>
    <d v="2025-12-05T08:05:00"/>
    <x v="48"/>
    <x v="2"/>
  </r>
  <r>
    <s v="1-34453345"/>
    <x v="6"/>
    <d v="2025-12-05T15:24:00"/>
    <d v="2025-12-05T16:33:00"/>
    <x v="143"/>
    <x v="2"/>
  </r>
  <r>
    <s v="1-34453345"/>
    <x v="6"/>
    <d v="2025-12-05T16:40:00"/>
    <d v="2025-12-05T16:44:00"/>
    <x v="58"/>
    <x v="2"/>
  </r>
  <r>
    <s v="1-34453345"/>
    <x v="6"/>
    <d v="2025-12-05T19:00:00"/>
    <d v="2025-12-05T19:30:00"/>
    <x v="24"/>
    <x v="2"/>
  </r>
  <r>
    <s v="1-34453345"/>
    <x v="6"/>
    <d v="2025-12-06T06:04:00"/>
    <d v="2025-12-06T06:13:00"/>
    <x v="2"/>
    <x v="2"/>
  </r>
  <r>
    <s v="1-34453345"/>
    <x v="6"/>
    <d v="2025-12-06T19:04:00"/>
    <d v="2025-12-06T19:12:00"/>
    <x v="144"/>
    <x v="2"/>
  </r>
  <r>
    <s v="1-34453345"/>
    <x v="6"/>
    <d v="2025-12-09T07:33:00"/>
    <d v="2025-12-09T09:31:00"/>
    <x v="135"/>
    <x v="2"/>
  </r>
  <r>
    <s v="1-34453345"/>
    <x v="6"/>
    <d v="2025-12-09T11:59:00"/>
    <d v="2025-12-09T13:24:00"/>
    <x v="87"/>
    <x v="2"/>
  </r>
  <r>
    <s v="1-34453345"/>
    <x v="6"/>
    <m/>
    <d v="2025-12-09T16:32:00"/>
    <x v="0"/>
    <x v="2"/>
  </r>
  <r>
    <s v="1-34453345"/>
    <x v="6"/>
    <m/>
    <d v="2025-12-10T07:41:00"/>
    <x v="0"/>
    <x v="2"/>
  </r>
  <r>
    <s v="1-34453345"/>
    <x v="6"/>
    <m/>
    <d v="2025-12-10T16:35:00"/>
    <x v="0"/>
    <x v="2"/>
  </r>
  <r>
    <s v="1-34453345"/>
    <x v="6"/>
    <m/>
    <m/>
    <x v="0"/>
    <x v="2"/>
  </r>
  <r>
    <s v="1-34453345"/>
    <x v="6"/>
    <d v="2025-12-11T08:10:00"/>
    <d v="2025-12-11T09:08:00"/>
    <x v="145"/>
    <x v="2"/>
  </r>
  <r>
    <s v="1-34453345"/>
    <x v="6"/>
    <d v="2025-12-11T10:19:00"/>
    <d v="2025-12-11T14:10:00"/>
    <x v="146"/>
    <x v="2"/>
  </r>
  <r>
    <s v="1-34453345"/>
    <x v="6"/>
    <d v="2025-12-11T15:12:00"/>
    <d v="2025-12-11T16:36:00"/>
    <x v="60"/>
    <x v="2"/>
  </r>
  <r>
    <s v="1-34453345"/>
    <x v="6"/>
    <d v="2025-12-12T07:38:00"/>
    <d v="2025-12-12T07:43:00"/>
    <x v="75"/>
    <x v="2"/>
  </r>
  <r>
    <s v="1-34453345"/>
    <x v="6"/>
    <d v="2025-12-12T12:01:00"/>
    <d v="2025-12-12T13:17:00"/>
    <x v="147"/>
    <x v="2"/>
  </r>
  <r>
    <s v="1-34453345"/>
    <x v="6"/>
    <m/>
    <d v="2025-12-12T16:18:00"/>
    <x v="0"/>
    <x v="2"/>
  </r>
  <r>
    <s v="1-34453345"/>
    <x v="6"/>
    <d v="2025-12-15T07:34:00"/>
    <d v="2025-12-15T08:13:00"/>
    <x v="121"/>
    <x v="2"/>
  </r>
  <r>
    <s v="1-34453345"/>
    <x v="6"/>
    <d v="2025-12-15T13:46:00"/>
    <d v="2025-12-15T14:48:00"/>
    <x v="105"/>
    <x v="2"/>
  </r>
  <r>
    <s v="1-34453345"/>
    <x v="6"/>
    <m/>
    <d v="2025-12-15T16:35:00"/>
    <x v="0"/>
    <x v="2"/>
  </r>
  <r>
    <s v="1-34453345"/>
    <x v="6"/>
    <d v="2025-12-16T07:29:00"/>
    <d v="2025-12-16T08:23:00"/>
    <x v="73"/>
    <x v="2"/>
  </r>
  <r>
    <s v="1-34453345"/>
    <x v="6"/>
    <d v="2025-12-16T11:58:00"/>
    <d v="2025-12-16T13:12:00"/>
    <x v="134"/>
    <x v="2"/>
  </r>
  <r>
    <s v="1-34453345"/>
    <x v="6"/>
    <m/>
    <d v="2025-12-17T07:28:00"/>
    <x v="0"/>
    <x v="2"/>
  </r>
  <r>
    <s v="1-34453345"/>
    <x v="6"/>
    <m/>
    <d v="2025-12-17T16:50:00"/>
    <x v="0"/>
    <x v="2"/>
  </r>
  <r>
    <s v="1-34453345"/>
    <x v="6"/>
    <m/>
    <d v="2025-12-18T07:32:00"/>
    <x v="0"/>
    <x v="2"/>
  </r>
  <r>
    <s v="1-34453345"/>
    <x v="6"/>
    <d v="2025-12-18T07:36:00"/>
    <d v="2025-12-18T08:08:00"/>
    <x v="148"/>
    <x v="2"/>
  </r>
  <r>
    <s v="1-34453345"/>
    <x v="6"/>
    <d v="2025-12-18T11:01:00"/>
    <d v="2025-12-18T13:15:00"/>
    <x v="149"/>
    <x v="2"/>
  </r>
  <r>
    <s v="1-34453345"/>
    <x v="6"/>
    <d v="2025-12-18T13:19:00"/>
    <d v="2025-12-18T13:27:00"/>
    <x v="144"/>
    <x v="2"/>
  </r>
  <r>
    <s v="1-34453345"/>
    <x v="6"/>
    <d v="2025-12-18T16:24:00"/>
    <d v="2025-12-18T16:31:00"/>
    <x v="150"/>
    <x v="2"/>
  </r>
  <r>
    <s v="1-34453345"/>
    <x v="6"/>
    <d v="2025-12-19T05:54:00"/>
    <d v="2025-12-19T06:39:00"/>
    <x v="90"/>
    <x v="2"/>
  </r>
  <r>
    <s v="1-34453345"/>
    <x v="6"/>
    <d v="2025-12-19T07:00:00"/>
    <d v="2025-12-19T07:15:00"/>
    <x v="53"/>
    <x v="2"/>
  </r>
  <r>
    <s v="1-34453345"/>
    <x v="6"/>
    <d v="2025-12-19T09:11:00"/>
    <d v="2025-12-19T09:31:00"/>
    <x v="151"/>
    <x v="2"/>
  </r>
  <r>
    <s v="1-34453345"/>
    <x v="6"/>
    <d v="2025-12-19T11:48:00"/>
    <d v="2025-12-19T13:55:00"/>
    <x v="118"/>
    <x v="2"/>
  </r>
  <r>
    <s v="1-34453345"/>
    <x v="6"/>
    <d v="2025-12-22T07:30:00"/>
    <d v="2025-12-22T08:04:00"/>
    <x v="49"/>
    <x v="2"/>
  </r>
  <r>
    <s v="1-34453345"/>
    <x v="6"/>
    <d v="2025-12-22T08:12:00"/>
    <d v="2025-12-22T10:05:00"/>
    <x v="86"/>
    <x v="2"/>
  </r>
  <r>
    <s v="1-34453345"/>
    <x v="6"/>
    <d v="2025-12-22T10:48:00"/>
    <d v="2025-12-22T14:59:00"/>
    <x v="152"/>
    <x v="2"/>
  </r>
  <r>
    <s v="1-34453345"/>
    <x v="6"/>
    <d v="2025-12-23T07:34:00"/>
    <d v="2025-12-23T08:06:00"/>
    <x v="148"/>
    <x v="2"/>
  </r>
  <r>
    <s v="1-34453345"/>
    <x v="6"/>
    <d v="2025-12-23T15:53:00"/>
    <d v="2025-12-23T16:32:00"/>
    <x v="121"/>
    <x v="2"/>
  </r>
  <r>
    <s v="1-34453345"/>
    <x v="6"/>
    <d v="2025-12-24T06:01:00"/>
    <d v="2025-12-24T06:50:00"/>
    <x v="35"/>
    <x v="2"/>
  </r>
  <r>
    <s v="1-34453345"/>
    <x v="6"/>
    <m/>
    <d v="2025-12-24T14:09:00"/>
    <x v="0"/>
    <x v="2"/>
  </r>
  <r>
    <s v="1-34453345"/>
    <x v="6"/>
    <d v="2025-12-29T07:36:00"/>
    <d v="2025-12-29T07:59:00"/>
    <x v="7"/>
    <x v="2"/>
  </r>
  <r>
    <s v="1-34453345"/>
    <x v="6"/>
    <d v="2025-12-29T10:56:00"/>
    <d v="2025-12-29T13:34:00"/>
    <x v="130"/>
    <x v="2"/>
  </r>
  <r>
    <s v="1-34453345"/>
    <x v="6"/>
    <d v="2025-12-29T16:25:00"/>
    <d v="2025-12-29T16:32:00"/>
    <x v="150"/>
    <x v="2"/>
  </r>
  <r>
    <s v="1-34453345"/>
    <x v="6"/>
    <m/>
    <d v="2025-12-30T07:29:00"/>
    <x v="0"/>
    <x v="2"/>
  </r>
  <r>
    <s v="1-20806099"/>
    <x v="8"/>
    <d v="2025-12-01T07:31:00"/>
    <d v="2025-12-01T16:31:00"/>
    <x v="153"/>
    <x v="2"/>
  </r>
  <r>
    <s v="1-20806099"/>
    <x v="8"/>
    <d v="2025-12-03T07:28:00"/>
    <d v="2025-12-03T16:32:00"/>
    <x v="154"/>
    <x v="2"/>
  </r>
  <r>
    <s v="1-20806099"/>
    <x v="8"/>
    <d v="2025-12-04T07:26:00"/>
    <d v="2025-12-04T16:34:00"/>
    <x v="155"/>
    <x v="2"/>
  </r>
  <r>
    <s v="1-20806099"/>
    <x v="8"/>
    <d v="2025-12-05T07:30:00"/>
    <d v="2025-12-05T16:44:00"/>
    <x v="156"/>
    <x v="2"/>
  </r>
  <r>
    <s v="1-20806099"/>
    <x v="8"/>
    <d v="2025-12-09T07:33:00"/>
    <d v="2025-12-09T16:30:00"/>
    <x v="23"/>
    <x v="2"/>
  </r>
  <r>
    <s v="1-20806099"/>
    <x v="8"/>
    <d v="2025-12-10T07:40:00"/>
    <d v="2025-12-10T16:30:00"/>
    <x v="157"/>
    <x v="2"/>
  </r>
  <r>
    <s v="1-20806099"/>
    <x v="8"/>
    <d v="2025-12-11T07:31:00"/>
    <d v="2025-12-11T16:36:00"/>
    <x v="158"/>
    <x v="2"/>
  </r>
  <r>
    <s v="1-20806099"/>
    <x v="8"/>
    <d v="2025-12-12T07:38:00"/>
    <d v="2025-12-12T16:18:00"/>
    <x v="159"/>
    <x v="2"/>
  </r>
  <r>
    <s v="1-20806099"/>
    <x v="8"/>
    <d v="2025-12-15T07:29:00"/>
    <d v="2025-12-15T16:29:00"/>
    <x v="153"/>
    <x v="2"/>
  </r>
  <r>
    <s v="1-20806099"/>
    <x v="8"/>
    <d v="2025-12-16T07:29:00"/>
    <d v="2025-12-16T16:31:00"/>
    <x v="160"/>
    <x v="2"/>
  </r>
  <r>
    <s v="1-20806099"/>
    <x v="8"/>
    <d v="2025-12-17T07:28:00"/>
    <d v="2025-12-17T16:40:00"/>
    <x v="161"/>
    <x v="2"/>
  </r>
  <r>
    <s v="1-20806099"/>
    <x v="8"/>
    <d v="2025-12-18T07:30:00"/>
    <d v="2025-12-18T16:32:00"/>
    <x v="160"/>
    <x v="2"/>
  </r>
  <r>
    <s v="1-20806099"/>
    <x v="8"/>
    <d v="2025-12-19T05:54:00"/>
    <d v="2025-12-19T13:55:00"/>
    <x v="162"/>
    <x v="2"/>
  </r>
  <r>
    <s v="1-20806099"/>
    <x v="8"/>
    <d v="2025-12-22T07:30:00"/>
    <d v="2025-12-22T16:31:00"/>
    <x v="163"/>
    <x v="2"/>
  </r>
  <r>
    <s v="1-20806099"/>
    <x v="8"/>
    <d v="2025-12-23T07:33:00"/>
    <d v="2025-12-23T16:32:00"/>
    <x v="67"/>
    <x v="2"/>
  </r>
  <r>
    <s v="1-20806099"/>
    <x v="8"/>
    <d v="2025-12-24T05:59:00"/>
    <d v="2025-12-24T13:56:00"/>
    <x v="164"/>
    <x v="2"/>
  </r>
  <r>
    <s v="1-20806099"/>
    <x v="8"/>
    <d v="2025-12-29T07:36:00"/>
    <d v="2025-12-29T16:34:00"/>
    <x v="165"/>
    <x v="2"/>
  </r>
  <r>
    <s v="1-20806099"/>
    <x v="8"/>
    <d v="2025-12-30T07:28:00"/>
    <d v="2025-12-30T16:29:00"/>
    <x v="163"/>
    <x v="2"/>
  </r>
  <r>
    <s v="1-20806099"/>
    <x v="8"/>
    <d v="2025-12-31T06:00:00"/>
    <d v="2025-12-31T13:57:00"/>
    <x v="164"/>
    <x v="2"/>
  </r>
  <r>
    <s v="1-17952130"/>
    <x v="0"/>
    <d v="2025-12-03T07:57:00"/>
    <d v="2025-12-03T15:42:00"/>
    <x v="41"/>
    <x v="3"/>
  </r>
  <r>
    <s v="1-17952130"/>
    <x v="0"/>
    <d v="2025-12-05T09:17:00"/>
    <d v="2025-12-05T16:04:00"/>
    <x v="127"/>
    <x v="3"/>
  </r>
  <r>
    <s v="1-17952130"/>
    <x v="0"/>
    <d v="2025-12-15T12:50:00"/>
    <d v="2025-12-15T13:15:00"/>
    <x v="14"/>
    <x v="3"/>
  </r>
  <r>
    <s v="1-17952130"/>
    <x v="0"/>
    <d v="2025-12-17T08:23:00"/>
    <d v="2025-12-17T10:59:00"/>
    <x v="166"/>
    <x v="3"/>
  </r>
  <r>
    <s v="1-17952130"/>
    <x v="0"/>
    <d v="2025-12-17T11:41:00"/>
    <d v="2025-12-17T19:25:00"/>
    <x v="167"/>
    <x v="3"/>
  </r>
  <r>
    <s v="1-17952130"/>
    <x v="0"/>
    <d v="2025-12-18T13:48:00"/>
    <d v="2025-12-18T15:30:00"/>
    <x v="128"/>
    <x v="3"/>
  </r>
  <r>
    <s v="1-17952130"/>
    <x v="0"/>
    <d v="2025-12-18T16:11:00"/>
    <d v="2025-12-18T16:18:00"/>
    <x v="150"/>
    <x v="3"/>
  </r>
  <r>
    <s v="1-17952130"/>
    <x v="0"/>
    <m/>
    <d v="2025-12-19T11:01:00"/>
    <x v="0"/>
    <x v="3"/>
  </r>
  <r>
    <s v="1-17952130"/>
    <x v="0"/>
    <m/>
    <d v="2025-12-19T13:50:00"/>
    <x v="0"/>
    <x v="3"/>
  </r>
  <r>
    <s v="1-17952130"/>
    <x v="0"/>
    <d v="2025-12-22T08:37:00"/>
    <d v="2025-12-22T10:42:00"/>
    <x v="168"/>
    <x v="3"/>
  </r>
  <r>
    <s v="1-17952130"/>
    <x v="0"/>
    <d v="2025-12-30T08:23:00"/>
    <d v="2025-12-30T09:36:00"/>
    <x v="20"/>
    <x v="3"/>
  </r>
  <r>
    <s v="1-44279757"/>
    <x v="1"/>
    <d v="2025-12-02T09:03:00"/>
    <d v="2025-12-02T15:45:00"/>
    <x v="169"/>
    <x v="3"/>
  </r>
  <r>
    <s v="1-44279757"/>
    <x v="1"/>
    <d v="2025-12-05T09:22:00"/>
    <d v="2025-12-05T16:02:00"/>
    <x v="170"/>
    <x v="3"/>
  </r>
  <r>
    <s v="1-44279757"/>
    <x v="1"/>
    <d v="2025-12-09T13:04:00"/>
    <d v="2025-12-09T15:43:00"/>
    <x v="21"/>
    <x v="3"/>
  </r>
  <r>
    <s v="1-44279757"/>
    <x v="1"/>
    <d v="2025-12-15T13:58:00"/>
    <d v="2025-12-15T16:37:00"/>
    <x v="21"/>
    <x v="3"/>
  </r>
  <r>
    <s v="1-44279757"/>
    <x v="1"/>
    <d v="2025-12-24T07:15:00"/>
    <d v="2025-12-24T10:21:00"/>
    <x v="171"/>
    <x v="3"/>
  </r>
  <r>
    <s v="1-44279757"/>
    <x v="1"/>
    <d v="2025-12-24T13:02:00"/>
    <d v="2025-12-24T13:10:00"/>
    <x v="144"/>
    <x v="3"/>
  </r>
  <r>
    <s v="1-44279757"/>
    <x v="1"/>
    <d v="2025-12-29T12:38:00"/>
    <d v="2025-12-29T15:51:00"/>
    <x v="172"/>
    <x v="3"/>
  </r>
  <r>
    <s v="1-31472794"/>
    <x v="2"/>
    <d v="2025-12-02T09:03:00"/>
    <d v="2025-12-02T15:45:00"/>
    <x v="169"/>
    <x v="3"/>
  </r>
  <r>
    <s v="1-31472794"/>
    <x v="2"/>
    <d v="2025-12-05T08:51:00"/>
    <d v="2025-12-05T15:38:00"/>
    <x v="127"/>
    <x v="3"/>
  </r>
  <r>
    <s v="1-31472794"/>
    <x v="2"/>
    <m/>
    <m/>
    <x v="0"/>
    <x v="3"/>
  </r>
  <r>
    <s v="1-31472794"/>
    <x v="2"/>
    <d v="2025-12-24T07:15:00"/>
    <d v="2025-12-24T10:21:00"/>
    <x v="171"/>
    <x v="3"/>
  </r>
  <r>
    <s v="1-31472794"/>
    <x v="2"/>
    <d v="2025-12-24T13:02:00"/>
    <d v="2025-12-24T13:09:00"/>
    <x v="150"/>
    <x v="3"/>
  </r>
  <r>
    <s v="1-31472794"/>
    <x v="2"/>
    <d v="2025-12-29T12:38:00"/>
    <d v="2025-12-29T15:51:00"/>
    <x v="172"/>
    <x v="3"/>
  </r>
  <r>
    <s v="1-20297614"/>
    <x v="7"/>
    <d v="2025-12-03T07:56:00"/>
    <d v="2025-12-03T15:23:00"/>
    <x v="173"/>
    <x v="3"/>
  </r>
  <r>
    <s v="1-20297614"/>
    <x v="7"/>
    <d v="2025-12-05T08:50:00"/>
    <d v="2025-12-05T16:02:00"/>
    <x v="174"/>
    <x v="3"/>
  </r>
  <r>
    <s v="1-20297614"/>
    <x v="7"/>
    <d v="2025-12-17T08:24:00"/>
    <d v="2025-12-17T19:23:00"/>
    <x v="175"/>
    <x v="3"/>
  </r>
  <r>
    <s v="1-20297614"/>
    <x v="7"/>
    <d v="2025-12-30T08:23:00"/>
    <d v="2025-12-30T09:37:00"/>
    <x v="134"/>
    <x v="3"/>
  </r>
  <r>
    <s v="1-37718801"/>
    <x v="4"/>
    <d v="2025-12-03T07:56:00"/>
    <d v="2025-12-03T15:42:00"/>
    <x v="27"/>
    <x v="3"/>
  </r>
  <r>
    <s v="1-37718801"/>
    <x v="4"/>
    <d v="2025-12-05T09:21:00"/>
    <d v="2025-12-05T15:38:00"/>
    <x v="176"/>
    <x v="3"/>
  </r>
  <r>
    <s v="1-37718801"/>
    <x v="4"/>
    <d v="2025-12-15T13:58:00"/>
    <d v="2025-12-15T16:37:00"/>
    <x v="21"/>
    <x v="3"/>
  </r>
  <r>
    <s v="1-37718801"/>
    <x v="4"/>
    <d v="2025-12-17T08:24:00"/>
    <d v="2025-12-17T19:23:00"/>
    <x v="175"/>
    <x v="3"/>
  </r>
  <r>
    <s v="1-37718801"/>
    <x v="4"/>
    <d v="2025-12-18T13:48:00"/>
    <d v="2025-12-18T15:31:00"/>
    <x v="40"/>
    <x v="3"/>
  </r>
  <r>
    <s v="1-37718801"/>
    <x v="4"/>
    <d v="2025-12-18T16:11:00"/>
    <d v="2025-12-18T16:18:00"/>
    <x v="150"/>
    <x v="3"/>
  </r>
  <r>
    <s v="1-37718801"/>
    <x v="4"/>
    <d v="2025-12-19T09:14:00"/>
    <d v="2025-12-19T10:57:00"/>
    <x v="40"/>
    <x v="3"/>
  </r>
  <r>
    <s v="1-37718801"/>
    <x v="4"/>
    <d v="2025-12-19T12:18:00"/>
    <d v="2025-12-19T13:50:00"/>
    <x v="25"/>
    <x v="3"/>
  </r>
  <r>
    <s v="1-37718801"/>
    <x v="4"/>
    <d v="2025-12-22T08:33:00"/>
    <d v="2025-12-22T10:41:00"/>
    <x v="8"/>
    <x v="3"/>
  </r>
  <r>
    <s v="1-37718801"/>
    <x v="4"/>
    <d v="2025-12-29T13:59:00"/>
    <d v="2025-12-29T15:51:00"/>
    <x v="66"/>
    <x v="3"/>
  </r>
  <r>
    <s v="1-37718801"/>
    <x v="4"/>
    <d v="2025-12-30T08:23:00"/>
    <d v="2025-12-30T09:36:00"/>
    <x v="20"/>
    <x v="3"/>
  </r>
  <r>
    <s v="1-37591299"/>
    <x v="5"/>
    <d v="2025-12-02T09:17:00"/>
    <d v="2025-12-02T14:42:00"/>
    <x v="124"/>
    <x v="3"/>
  </r>
  <r>
    <s v="1-37591299"/>
    <x v="5"/>
    <d v="2025-12-03T08:29:00"/>
    <d v="2025-12-03T15:42:00"/>
    <x v="177"/>
    <x v="3"/>
  </r>
  <r>
    <s v="1-37591299"/>
    <x v="5"/>
    <d v="2025-12-05T08:55:00"/>
    <d v="2025-12-05T16:04:00"/>
    <x v="178"/>
    <x v="3"/>
  </r>
  <r>
    <s v="1-37591299"/>
    <x v="5"/>
    <d v="2025-12-15T12:50:00"/>
    <d v="2025-12-15T13:16:00"/>
    <x v="179"/>
    <x v="3"/>
  </r>
  <r>
    <s v="1-37591299"/>
    <x v="5"/>
    <d v="2025-12-30T08:23:00"/>
    <d v="2025-12-30T09:37:00"/>
    <x v="134"/>
    <x v="3"/>
  </r>
  <r>
    <s v="1-34453345"/>
    <x v="6"/>
    <d v="2025-12-01T06:07:00"/>
    <d v="2025-12-01T06:18:00"/>
    <x v="126"/>
    <x v="3"/>
  </r>
  <r>
    <s v="1-34453345"/>
    <x v="6"/>
    <d v="2025-12-03T08:29:00"/>
    <d v="2025-12-03T15:23:00"/>
    <x v="180"/>
    <x v="3"/>
  </r>
  <r>
    <s v="1-34453345"/>
    <x v="6"/>
    <m/>
    <d v="2025-12-05T11:30:00"/>
    <x v="0"/>
    <x v="3"/>
  </r>
  <r>
    <s v="1-34453345"/>
    <x v="6"/>
    <d v="2025-12-05T12:26:00"/>
    <d v="2025-12-05T14:44:00"/>
    <x v="181"/>
    <x v="3"/>
  </r>
  <r>
    <s v="1-34453345"/>
    <x v="6"/>
    <d v="2025-12-09T13:42:00"/>
    <d v="2025-12-09T13:45:00"/>
    <x v="52"/>
    <x v="3"/>
  </r>
  <r>
    <s v="1-34453345"/>
    <x v="6"/>
    <m/>
    <d v="2025-12-16T17:33:00"/>
    <x v="0"/>
    <x v="3"/>
  </r>
  <r>
    <s v="1-34453345"/>
    <x v="6"/>
    <d v="2025-12-18T14:10:00"/>
    <d v="2025-12-18T14:20:00"/>
    <x v="77"/>
    <x v="3"/>
  </r>
  <r>
    <s v="1-34453345"/>
    <x v="6"/>
    <d v="2025-12-23T15:00:00"/>
    <d v="2025-12-23T15:15:00"/>
    <x v="53"/>
    <x v="3"/>
  </r>
  <r>
    <s v="1-34453345"/>
    <x v="6"/>
    <d v="2025-12-24T07:15:00"/>
    <d v="2025-12-24T10:21:00"/>
    <x v="171"/>
    <x v="3"/>
  </r>
  <r>
    <s v="1-34453345"/>
    <x v="6"/>
    <d v="2025-12-24T13:02:00"/>
    <d v="2025-12-24T13:10:00"/>
    <x v="144"/>
    <x v="3"/>
  </r>
  <r>
    <s v="1-34453345"/>
    <x v="6"/>
    <d v="2025-12-26T12:06:00"/>
    <d v="2025-12-26T12:17:00"/>
    <x v="126"/>
    <x v="3"/>
  </r>
  <r>
    <s v="1-34453345"/>
    <x v="6"/>
    <d v="2025-12-29T14:00:00"/>
    <d v="2025-12-29T15:51:00"/>
    <x v="137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laDinámica1" cacheId="13" applyNumberFormats="0" applyBorderFormats="0" applyFontFormats="0" applyPatternFormats="0" applyAlignmentFormats="0" applyWidthHeightFormats="1" dataCaption="Valores" updatedVersion="6" minRefreshableVersion="3" useAutoFormatting="1" itemPrintTitles="1" createdVersion="8" indent="0" outline="1" outlineData="1" multipleFieldFilters="0">
  <location ref="N8:O17" firstHeaderRow="1" firstDataRow="1" firstDataCol="1" rowPageCount="1" colPageCount="1"/>
  <pivotFields count="6">
    <pivotField showAll="0"/>
    <pivotField axis="axisRow" showAll="0">
      <items count="10">
        <item x="0"/>
        <item x="1"/>
        <item x="2"/>
        <item x="3"/>
        <item x="7"/>
        <item h="1" x="4"/>
        <item x="5"/>
        <item x="6"/>
        <item x="8"/>
        <item t="default"/>
      </items>
    </pivotField>
    <pivotField showAll="0"/>
    <pivotField showAll="0"/>
    <pivotField dataField="1" numFmtId="46" showAll="0">
      <items count="183">
        <item x="0"/>
        <item x="74"/>
        <item x="52"/>
        <item x="58"/>
        <item x="75"/>
        <item x="115"/>
        <item x="150"/>
        <item x="144"/>
        <item x="2"/>
        <item x="77"/>
        <item x="126"/>
        <item x="89"/>
        <item x="3"/>
        <item x="6"/>
        <item x="53"/>
        <item x="13"/>
        <item x="16"/>
        <item x="151"/>
        <item x="17"/>
        <item x="7"/>
        <item x="30"/>
        <item x="14"/>
        <item x="179"/>
        <item x="47"/>
        <item x="32"/>
        <item x="132"/>
        <item x="24"/>
        <item x="12"/>
        <item x="148"/>
        <item x="120"/>
        <item x="49"/>
        <item x="48"/>
        <item x="11"/>
        <item x="72"/>
        <item x="1"/>
        <item x="121"/>
        <item x="69"/>
        <item x="55"/>
        <item x="26"/>
        <item x="76"/>
        <item x="56"/>
        <item x="90"/>
        <item x="82"/>
        <item x="106"/>
        <item x="35"/>
        <item x="10"/>
        <item x="38"/>
        <item x="43"/>
        <item x="73"/>
        <item x="31"/>
        <item x="68"/>
        <item x="85"/>
        <item x="145"/>
        <item x="98"/>
        <item x="105"/>
        <item x="5"/>
        <item x="54"/>
        <item x="71"/>
        <item x="114"/>
        <item x="143"/>
        <item x="20"/>
        <item x="134"/>
        <item x="29"/>
        <item x="147"/>
        <item x="104"/>
        <item x="70"/>
        <item x="60"/>
        <item x="87"/>
        <item x="59"/>
        <item x="91"/>
        <item x="25"/>
        <item x="44"/>
        <item x="79"/>
        <item x="9"/>
        <item x="100"/>
        <item x="128"/>
        <item x="40"/>
        <item x="15"/>
        <item x="34"/>
        <item x="51"/>
        <item x="137"/>
        <item x="66"/>
        <item x="86"/>
        <item x="101"/>
        <item x="135"/>
        <item x="4"/>
        <item x="103"/>
        <item x="95"/>
        <item x="168"/>
        <item x="131"/>
        <item x="118"/>
        <item x="8"/>
        <item x="83"/>
        <item x="61"/>
        <item x="149"/>
        <item x="116"/>
        <item x="181"/>
        <item x="139"/>
        <item x="166"/>
        <item x="130"/>
        <item x="21"/>
        <item x="96"/>
        <item x="92"/>
        <item x="65"/>
        <item x="140"/>
        <item x="171"/>
        <item x="172"/>
        <item x="88"/>
        <item x="133"/>
        <item x="110"/>
        <item x="109"/>
        <item x="117"/>
        <item x="136"/>
        <item x="146"/>
        <item x="99"/>
        <item x="142"/>
        <item x="152"/>
        <item x="36"/>
        <item x="141"/>
        <item x="62"/>
        <item x="111"/>
        <item x="45"/>
        <item x="97"/>
        <item x="113"/>
        <item x="102"/>
        <item x="78"/>
        <item x="50"/>
        <item x="125"/>
        <item x="80"/>
        <item x="124"/>
        <item x="119"/>
        <item x="33"/>
        <item x="39"/>
        <item x="176"/>
        <item x="123"/>
        <item x="64"/>
        <item x="46"/>
        <item x="122"/>
        <item x="63"/>
        <item x="170"/>
        <item x="169"/>
        <item x="127"/>
        <item x="57"/>
        <item x="180"/>
        <item x="81"/>
        <item x="94"/>
        <item x="178"/>
        <item x="174"/>
        <item x="177"/>
        <item x="37"/>
        <item x="138"/>
        <item x="173"/>
        <item x="107"/>
        <item x="129"/>
        <item x="108"/>
        <item x="167"/>
        <item x="41"/>
        <item x="27"/>
        <item x="19"/>
        <item x="22"/>
        <item x="164"/>
        <item x="93"/>
        <item x="162"/>
        <item x="42"/>
        <item x="18"/>
        <item x="159"/>
        <item x="84"/>
        <item x="28"/>
        <item x="157"/>
        <item x="112"/>
        <item x="23"/>
        <item x="165"/>
        <item x="67"/>
        <item x="153"/>
        <item x="163"/>
        <item x="160"/>
        <item x="154"/>
        <item x="158"/>
        <item x="155"/>
        <item x="161"/>
        <item x="156"/>
        <item x="175"/>
        <item t="default"/>
      </items>
    </pivotField>
    <pivotField axis="axisPage"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pageFields count="1">
    <pageField fld="5" hier="-1"/>
  </pageFields>
  <dataFields count="1">
    <dataField name="Suma de TotalHs" fld="4" baseField="1" baseItem="0" numFmtId="46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externalLinkPath" Target="file:///C:\Users\palvarenga\Documents\SSGG\1PROVEEDORES\3MTTO%20DE%20AIRE%20ACONDICIONADO\LISTADO%20DE%20EQUIPOS%2003%202019\LISTADO%2002%202019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249977111117893"/>
    <pageSetUpPr fitToPage="1"/>
  </sheetPr>
  <dimension ref="A1:S173"/>
  <sheetViews>
    <sheetView showGridLines="0" view="pageBreakPreview" topLeftCell="A86" zoomScale="80" zoomScaleNormal="80" zoomScaleSheetLayoutView="80" workbookViewId="0">
      <selection activeCell="N17" sqref="N17"/>
    </sheetView>
  </sheetViews>
  <sheetFormatPr baseColWidth="10" defaultRowHeight="14.5" outlineLevelRow="1" x14ac:dyDescent="0.35"/>
  <cols>
    <col min="1" max="1" width="15.453125" bestFit="1" customWidth="1"/>
    <col min="2" max="2" width="7.54296875" bestFit="1" customWidth="1"/>
    <col min="3" max="6" width="10" customWidth="1"/>
    <col min="7" max="7" width="11.1796875" bestFit="1" customWidth="1"/>
    <col min="8" max="8" width="13.1796875" bestFit="1" customWidth="1"/>
    <col min="9" max="9" width="15.54296875" bestFit="1" customWidth="1"/>
    <col min="10" max="10" width="9.7265625" bestFit="1" customWidth="1"/>
    <col min="11" max="11" width="9.81640625" bestFit="1" customWidth="1"/>
    <col min="12" max="12" width="12" bestFit="1" customWidth="1"/>
    <col min="13" max="16" width="12" customWidth="1"/>
    <col min="17" max="17" width="10.7265625" bestFit="1" customWidth="1"/>
    <col min="18" max="18" width="8.26953125" customWidth="1"/>
    <col min="19" max="19" width="9.453125" bestFit="1" customWidth="1"/>
  </cols>
  <sheetData>
    <row r="1" spans="1:19" ht="15" thickBot="1" x14ac:dyDescent="0.4">
      <c r="A1" s="602" t="s">
        <v>1865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  <c r="P1" s="603"/>
      <c r="Q1" s="603"/>
      <c r="R1" s="603"/>
      <c r="S1" s="604"/>
    </row>
    <row r="2" spans="1:19" ht="15" thickBot="1" x14ac:dyDescent="0.4">
      <c r="A2" s="55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7"/>
    </row>
    <row r="3" spans="1:19" ht="15" thickBot="1" x14ac:dyDescent="0.4">
      <c r="A3" s="602"/>
      <c r="B3" s="603"/>
      <c r="C3" s="603"/>
      <c r="D3" s="603"/>
      <c r="E3" s="603"/>
      <c r="F3" s="603"/>
      <c r="G3" s="603"/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4"/>
    </row>
    <row r="4" spans="1:19" ht="15" thickBot="1" x14ac:dyDescent="0.4">
      <c r="A4" s="55"/>
      <c r="B4" s="56"/>
      <c r="C4" s="56"/>
      <c r="D4" s="56"/>
      <c r="E4" s="56"/>
      <c r="F4" s="56"/>
      <c r="G4" s="161"/>
      <c r="H4" s="2"/>
      <c r="I4" s="2"/>
      <c r="J4" s="161"/>
      <c r="K4" s="614" t="s">
        <v>1196</v>
      </c>
      <c r="L4" s="615"/>
      <c r="M4" s="615"/>
      <c r="N4" s="226">
        <v>0.5</v>
      </c>
      <c r="O4" s="396"/>
      <c r="P4" s="161"/>
      <c r="Q4" s="198"/>
      <c r="R4" s="161"/>
      <c r="S4" s="162"/>
    </row>
    <row r="5" spans="1:19" ht="15" thickBot="1" x14ac:dyDescent="0.4">
      <c r="A5" s="577" t="s">
        <v>776</v>
      </c>
      <c r="B5" s="578"/>
      <c r="C5" s="578"/>
      <c r="D5" s="579"/>
      <c r="E5" s="612">
        <v>30832489.59</v>
      </c>
      <c r="F5" s="613"/>
      <c r="G5" s="2"/>
      <c r="H5" s="68"/>
      <c r="I5" s="2"/>
      <c r="K5" s="618" t="s">
        <v>1197</v>
      </c>
      <c r="L5" s="619"/>
      <c r="M5" s="619"/>
      <c r="N5" s="227">
        <v>0.4</v>
      </c>
      <c r="O5" s="101"/>
      <c r="P5" s="387"/>
      <c r="Q5" s="58"/>
      <c r="R5" s="58"/>
      <c r="S5" s="59"/>
    </row>
    <row r="6" spans="1:19" ht="15" thickBot="1" x14ac:dyDescent="0.4">
      <c r="A6" s="60"/>
      <c r="B6" s="124"/>
      <c r="C6" s="124"/>
      <c r="D6" s="124"/>
      <c r="E6" s="2"/>
      <c r="F6" s="2"/>
      <c r="G6" s="2"/>
      <c r="H6" s="2"/>
      <c r="I6" s="2"/>
      <c r="K6" s="618" t="s">
        <v>1199</v>
      </c>
      <c r="L6" s="619"/>
      <c r="M6" s="619"/>
      <c r="N6" s="214">
        <v>0.1</v>
      </c>
      <c r="O6" s="101"/>
      <c r="P6" s="101"/>
      <c r="Q6" s="101"/>
      <c r="R6" s="101"/>
      <c r="S6" s="163"/>
    </row>
    <row r="7" spans="1:19" ht="15" thickBot="1" x14ac:dyDescent="0.4">
      <c r="A7" s="577" t="s">
        <v>777</v>
      </c>
      <c r="B7" s="578"/>
      <c r="C7" s="578"/>
      <c r="D7" s="579"/>
      <c r="E7" s="580">
        <v>1</v>
      </c>
      <c r="F7" s="581"/>
      <c r="G7" s="2"/>
      <c r="H7" s="73" t="s">
        <v>779</v>
      </c>
      <c r="I7" s="397">
        <v>41071005</v>
      </c>
      <c r="K7" s="575" t="s">
        <v>1200</v>
      </c>
      <c r="L7" s="576"/>
      <c r="M7" s="576"/>
      <c r="N7" s="215">
        <f>+SUM(N4:N6)</f>
        <v>1</v>
      </c>
      <c r="O7" s="101"/>
      <c r="P7" s="101"/>
      <c r="Q7" s="101"/>
      <c r="R7" s="101"/>
      <c r="S7" s="163"/>
    </row>
    <row r="8" spans="1:19" ht="15" thickBot="1" x14ac:dyDescent="0.4">
      <c r="A8" s="65"/>
      <c r="B8" s="66"/>
      <c r="C8" s="66"/>
      <c r="D8" s="66"/>
      <c r="E8" s="2"/>
      <c r="F8" s="2"/>
      <c r="G8" s="2"/>
      <c r="H8" s="2"/>
      <c r="I8" s="2"/>
      <c r="K8" s="124"/>
      <c r="L8" s="101"/>
      <c r="M8" s="101"/>
      <c r="N8" s="124"/>
      <c r="O8" s="101"/>
      <c r="P8" s="101"/>
      <c r="Q8" s="101"/>
      <c r="R8" s="101"/>
      <c r="S8" s="163"/>
    </row>
    <row r="9" spans="1:19" ht="15" thickBot="1" x14ac:dyDescent="0.4">
      <c r="A9" s="577" t="s">
        <v>683</v>
      </c>
      <c r="B9" s="578"/>
      <c r="C9" s="578"/>
      <c r="D9" s="579"/>
      <c r="E9" s="582"/>
      <c r="F9" s="583"/>
      <c r="G9" s="2"/>
      <c r="H9" s="73" t="s">
        <v>551</v>
      </c>
      <c r="I9" s="322" t="s">
        <v>1866</v>
      </c>
      <c r="K9" s="58"/>
      <c r="L9" s="101"/>
      <c r="M9" s="101"/>
      <c r="N9" s="58"/>
      <c r="O9" s="101"/>
      <c r="P9" s="101"/>
      <c r="Q9" s="101"/>
      <c r="R9" s="101"/>
      <c r="S9" s="163"/>
    </row>
    <row r="10" spans="1:19" ht="15" thickBot="1" x14ac:dyDescent="0.4">
      <c r="A10" s="65"/>
      <c r="B10" s="66"/>
      <c r="C10" s="66"/>
      <c r="D10" s="66"/>
      <c r="E10" s="2"/>
      <c r="F10" s="2"/>
      <c r="G10" s="2"/>
      <c r="H10" s="2"/>
      <c r="I10" s="2"/>
      <c r="J10" s="2"/>
      <c r="K10" s="102"/>
      <c r="L10" s="620" t="s">
        <v>1496</v>
      </c>
      <c r="M10" s="621"/>
      <c r="N10" s="202">
        <v>1</v>
      </c>
      <c r="O10" s="102"/>
      <c r="P10" s="102"/>
      <c r="Q10" s="102"/>
      <c r="R10" s="102"/>
      <c r="S10" s="163"/>
    </row>
    <row r="11" spans="1:19" ht="15" thickBot="1" x14ac:dyDescent="0.4">
      <c r="A11" s="577" t="s">
        <v>778</v>
      </c>
      <c r="B11" s="578"/>
      <c r="C11" s="578"/>
      <c r="D11" s="579"/>
      <c r="E11" s="616">
        <f>+E5*E7</f>
        <v>30832489.59</v>
      </c>
      <c r="F11" s="617"/>
      <c r="G11" s="2"/>
      <c r="H11" s="68"/>
      <c r="I11" s="2"/>
      <c r="J11" s="2"/>
      <c r="K11" s="2"/>
      <c r="L11" s="620" t="s">
        <v>1428</v>
      </c>
      <c r="M11" s="621"/>
      <c r="N11" s="202">
        <v>1</v>
      </c>
      <c r="O11" s="2"/>
      <c r="P11" s="2"/>
      <c r="Q11" s="2"/>
      <c r="R11" s="2"/>
      <c r="S11" s="17"/>
    </row>
    <row r="12" spans="1:19" ht="15" thickBot="1" x14ac:dyDescent="0.4">
      <c r="A12" s="164"/>
      <c r="B12" s="165"/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245"/>
      <c r="O12" s="165"/>
      <c r="P12" s="165"/>
      <c r="Q12" s="165"/>
      <c r="R12" s="165"/>
      <c r="S12" s="166"/>
    </row>
    <row r="13" spans="1:19" ht="15" thickBot="1" x14ac:dyDescent="0.4">
      <c r="A13" s="609" t="s">
        <v>1210</v>
      </c>
      <c r="B13" s="610"/>
      <c r="C13" s="610"/>
      <c r="D13" s="610"/>
      <c r="E13" s="610"/>
      <c r="F13" s="610"/>
      <c r="G13" s="610"/>
      <c r="H13" s="610"/>
      <c r="I13" s="610"/>
      <c r="J13" s="610"/>
      <c r="K13" s="610"/>
      <c r="L13" s="610"/>
      <c r="M13" s="610"/>
      <c r="N13" s="610"/>
      <c r="O13" s="610"/>
      <c r="P13" s="610"/>
      <c r="Q13" s="610"/>
      <c r="R13" s="610"/>
      <c r="S13" s="611"/>
    </row>
    <row r="14" spans="1:19" x14ac:dyDescent="0.35">
      <c r="A14" s="216"/>
      <c r="B14" s="217"/>
      <c r="C14" s="217"/>
      <c r="D14" s="217" t="s">
        <v>1211</v>
      </c>
      <c r="E14" s="217"/>
      <c r="F14" s="217" t="s">
        <v>1212</v>
      </c>
      <c r="G14" s="217" t="s">
        <v>1213</v>
      </c>
      <c r="H14" s="217" t="s">
        <v>1214</v>
      </c>
      <c r="I14" s="217" t="s">
        <v>1202</v>
      </c>
      <c r="J14" s="217"/>
      <c r="K14" s="217"/>
      <c r="L14" s="217"/>
      <c r="M14" s="217"/>
      <c r="N14" s="217"/>
      <c r="O14" s="217"/>
      <c r="P14" s="217"/>
      <c r="Q14" s="217"/>
      <c r="R14" s="217"/>
      <c r="S14" s="218"/>
    </row>
    <row r="15" spans="1:19" x14ac:dyDescent="0.35">
      <c r="A15" s="594"/>
      <c r="B15" s="590"/>
      <c r="C15" s="590"/>
      <c r="D15" s="590" t="s">
        <v>6</v>
      </c>
      <c r="E15" s="590"/>
      <c r="F15" s="20">
        <v>41071005</v>
      </c>
      <c r="G15" s="50" t="s">
        <v>1203</v>
      </c>
      <c r="H15" s="433">
        <v>12</v>
      </c>
      <c r="I15" s="167">
        <f>+($E$11/100)*H15</f>
        <v>3699898.7508</v>
      </c>
      <c r="J15" s="484">
        <f>+H15/100</f>
        <v>0.12</v>
      </c>
      <c r="K15" s="40"/>
      <c r="L15" s="2"/>
      <c r="M15" s="2"/>
      <c r="N15" s="2"/>
      <c r="O15" s="2"/>
      <c r="P15" s="2"/>
      <c r="Q15" s="49"/>
      <c r="R15" s="2"/>
      <c r="S15" s="17"/>
    </row>
    <row r="16" spans="1:19" x14ac:dyDescent="0.35">
      <c r="A16" s="18"/>
      <c r="B16" s="2"/>
      <c r="C16" s="2"/>
      <c r="D16" s="590" t="s">
        <v>962</v>
      </c>
      <c r="E16" s="590"/>
      <c r="F16" s="20">
        <v>41071005</v>
      </c>
      <c r="G16" s="50" t="s">
        <v>1012</v>
      </c>
      <c r="H16" s="433">
        <v>4.57</v>
      </c>
      <c r="I16" s="167">
        <f t="shared" ref="I16:I26" si="0">+($E$11/100)*H16</f>
        <v>1409044.7742630001</v>
      </c>
      <c r="J16" s="484">
        <f t="shared" ref="J16:J26" si="1">+H16/100</f>
        <v>4.5700000000000005E-2</v>
      </c>
      <c r="K16" s="40"/>
      <c r="L16" s="2"/>
      <c r="M16" s="2"/>
      <c r="N16" s="2"/>
      <c r="O16" s="2"/>
      <c r="P16" s="2"/>
      <c r="Q16" s="49"/>
      <c r="R16" s="2"/>
      <c r="S16" s="17"/>
    </row>
    <row r="17" spans="1:19" x14ac:dyDescent="0.35">
      <c r="A17" s="18"/>
      <c r="B17" s="2"/>
      <c r="C17" s="2"/>
      <c r="D17" s="590" t="s">
        <v>962</v>
      </c>
      <c r="E17" s="590"/>
      <c r="F17" s="20">
        <v>41111002</v>
      </c>
      <c r="G17" s="50" t="s">
        <v>1204</v>
      </c>
      <c r="H17" s="433">
        <v>13.17</v>
      </c>
      <c r="I17" s="167">
        <f t="shared" si="0"/>
        <v>4060638.879003</v>
      </c>
      <c r="J17" s="484">
        <f t="shared" si="1"/>
        <v>0.13170000000000001</v>
      </c>
      <c r="K17" s="40"/>
      <c r="L17" s="2"/>
      <c r="M17" s="2"/>
      <c r="N17" s="363"/>
      <c r="O17" s="2"/>
      <c r="P17" s="2"/>
      <c r="Q17" s="49"/>
      <c r="R17" s="2"/>
      <c r="S17" s="17"/>
    </row>
    <row r="18" spans="1:19" x14ac:dyDescent="0.35">
      <c r="A18" s="18"/>
      <c r="B18" s="2"/>
      <c r="C18" s="2"/>
      <c r="D18" s="590" t="s">
        <v>962</v>
      </c>
      <c r="E18" s="590"/>
      <c r="F18" s="20">
        <v>41071005</v>
      </c>
      <c r="G18" s="50" t="s">
        <v>1205</v>
      </c>
      <c r="H18" s="433">
        <v>3.48</v>
      </c>
      <c r="I18" s="167">
        <f t="shared" si="0"/>
        <v>1072970.6377320001</v>
      </c>
      <c r="J18" s="484">
        <f t="shared" si="1"/>
        <v>3.4799999999999998E-2</v>
      </c>
      <c r="K18" s="40"/>
      <c r="L18" s="2"/>
      <c r="M18" s="2"/>
      <c r="N18" s="421"/>
      <c r="O18" s="2"/>
      <c r="P18" s="2"/>
      <c r="Q18" s="49"/>
      <c r="R18" s="2"/>
      <c r="S18" s="17"/>
    </row>
    <row r="19" spans="1:19" x14ac:dyDescent="0.35">
      <c r="A19" s="18"/>
      <c r="B19" s="2"/>
      <c r="C19" s="2"/>
      <c r="D19" s="590" t="s">
        <v>962</v>
      </c>
      <c r="E19" s="590"/>
      <c r="F19" s="20">
        <v>41071005</v>
      </c>
      <c r="G19" s="50" t="s">
        <v>1011</v>
      </c>
      <c r="H19" s="433">
        <v>5.31</v>
      </c>
      <c r="I19" s="167">
        <f t="shared" si="0"/>
        <v>1637205.1972289998</v>
      </c>
      <c r="J19" s="484">
        <f t="shared" si="1"/>
        <v>5.3099999999999994E-2</v>
      </c>
      <c r="K19" s="40"/>
      <c r="L19" s="2"/>
      <c r="M19" s="2"/>
      <c r="N19" s="421"/>
      <c r="O19" s="2"/>
      <c r="P19" s="2"/>
      <c r="Q19" s="49"/>
      <c r="R19" s="2"/>
      <c r="S19" s="17"/>
    </row>
    <row r="20" spans="1:19" x14ac:dyDescent="0.35">
      <c r="A20" s="18"/>
      <c r="B20" s="2"/>
      <c r="C20" s="2"/>
      <c r="D20" s="590" t="s">
        <v>962</v>
      </c>
      <c r="E20" s="590"/>
      <c r="F20" s="20">
        <v>41071005</v>
      </c>
      <c r="G20" s="50" t="s">
        <v>1010</v>
      </c>
      <c r="H20" s="433">
        <v>3.77</v>
      </c>
      <c r="I20" s="167">
        <f t="shared" si="0"/>
        <v>1162384.857543</v>
      </c>
      <c r="J20" s="484">
        <f t="shared" si="1"/>
        <v>3.7699999999999997E-2</v>
      </c>
      <c r="K20" s="40"/>
      <c r="L20" s="2"/>
      <c r="M20" s="2"/>
      <c r="N20" s="363"/>
      <c r="O20" s="2"/>
      <c r="P20" s="2"/>
      <c r="Q20" s="49"/>
      <c r="R20" s="2"/>
      <c r="S20" s="17"/>
    </row>
    <row r="21" spans="1:19" x14ac:dyDescent="0.35">
      <c r="A21" s="18"/>
      <c r="B21" s="2"/>
      <c r="C21" s="2"/>
      <c r="D21" s="96" t="s">
        <v>1206</v>
      </c>
      <c r="E21" s="96"/>
      <c r="F21" s="20">
        <v>41071005</v>
      </c>
      <c r="G21" s="148" t="s">
        <v>554</v>
      </c>
      <c r="H21" s="433">
        <v>8.4600000000000009</v>
      </c>
      <c r="I21" s="167">
        <f t="shared" si="0"/>
        <v>2608428.6193140005</v>
      </c>
      <c r="J21" s="484">
        <f t="shared" si="1"/>
        <v>8.4600000000000009E-2</v>
      </c>
      <c r="K21" s="40"/>
      <c r="L21" s="2"/>
      <c r="M21" s="2"/>
      <c r="N21" s="363"/>
      <c r="O21" s="2"/>
      <c r="P21" s="2"/>
      <c r="Q21" s="49"/>
      <c r="R21" s="2"/>
      <c r="S21" s="17"/>
    </row>
    <row r="22" spans="1:19" x14ac:dyDescent="0.35">
      <c r="A22" s="18"/>
      <c r="B22" s="2"/>
      <c r="C22" s="2"/>
      <c r="D22" s="96" t="s">
        <v>1207</v>
      </c>
      <c r="E22" s="96"/>
      <c r="F22" s="20">
        <v>41071005</v>
      </c>
      <c r="G22" s="148" t="s">
        <v>555</v>
      </c>
      <c r="H22" s="433">
        <v>11.16</v>
      </c>
      <c r="I22" s="167">
        <f t="shared" si="0"/>
        <v>3440905.838244</v>
      </c>
      <c r="J22" s="484">
        <f t="shared" si="1"/>
        <v>0.1116</v>
      </c>
      <c r="K22" s="40"/>
      <c r="L22" s="2"/>
      <c r="M22" s="2"/>
      <c r="N22" s="2"/>
      <c r="O22" s="2"/>
      <c r="P22" s="2"/>
      <c r="Q22" s="49"/>
      <c r="R22" s="2"/>
      <c r="S22" s="17"/>
    </row>
    <row r="23" spans="1:19" x14ac:dyDescent="0.35">
      <c r="A23" s="18"/>
      <c r="B23" s="2"/>
      <c r="C23" s="2"/>
      <c r="D23" s="96" t="s">
        <v>1543</v>
      </c>
      <c r="E23" s="96"/>
      <c r="F23" s="20">
        <v>41071005</v>
      </c>
      <c r="G23" s="50" t="s">
        <v>1549</v>
      </c>
      <c r="H23" s="433">
        <v>5</v>
      </c>
      <c r="I23" s="167">
        <f t="shared" si="0"/>
        <v>1541624.4794999999</v>
      </c>
      <c r="J23" s="484">
        <f t="shared" si="1"/>
        <v>0.05</v>
      </c>
      <c r="K23" s="40"/>
      <c r="L23" s="2"/>
      <c r="M23" s="2"/>
      <c r="N23" s="2"/>
      <c r="O23" s="2"/>
      <c r="P23" s="2"/>
      <c r="Q23" s="49"/>
      <c r="R23" s="2"/>
      <c r="S23" s="17"/>
    </row>
    <row r="24" spans="1:19" x14ac:dyDescent="0.35">
      <c r="A24" s="594"/>
      <c r="B24" s="590"/>
      <c r="C24" s="590"/>
      <c r="D24" s="590" t="s">
        <v>195</v>
      </c>
      <c r="E24" s="590"/>
      <c r="F24" s="20">
        <v>41071005</v>
      </c>
      <c r="G24" s="326" t="s">
        <v>552</v>
      </c>
      <c r="H24" s="433">
        <v>10.56</v>
      </c>
      <c r="I24" s="167">
        <f t="shared" si="0"/>
        <v>3255910.9007040001</v>
      </c>
      <c r="J24" s="484">
        <f t="shared" si="1"/>
        <v>0.1056</v>
      </c>
      <c r="K24" s="40"/>
      <c r="L24" s="2"/>
      <c r="M24" s="2"/>
      <c r="N24" s="2"/>
      <c r="O24" s="2"/>
      <c r="P24" s="2"/>
      <c r="Q24" s="49"/>
      <c r="R24" s="2"/>
      <c r="S24" s="17"/>
    </row>
    <row r="25" spans="1:19" x14ac:dyDescent="0.35">
      <c r="A25" s="18"/>
      <c r="B25" s="2"/>
      <c r="C25" s="2"/>
      <c r="D25" s="590" t="s">
        <v>1208</v>
      </c>
      <c r="E25" s="590"/>
      <c r="F25" s="20">
        <v>41071005</v>
      </c>
      <c r="G25" s="50" t="s">
        <v>556</v>
      </c>
      <c r="H25" s="433">
        <v>9.9600000000000009</v>
      </c>
      <c r="I25" s="167">
        <f t="shared" si="0"/>
        <v>3070915.9631640003</v>
      </c>
      <c r="J25" s="484">
        <f t="shared" si="1"/>
        <v>9.9600000000000008E-2</v>
      </c>
      <c r="K25" s="40"/>
      <c r="L25" s="2"/>
      <c r="M25" s="2"/>
      <c r="N25" s="2"/>
      <c r="O25" s="2"/>
      <c r="P25" s="2"/>
      <c r="Q25" s="49"/>
      <c r="R25" s="2"/>
      <c r="S25" s="17"/>
    </row>
    <row r="26" spans="1:19" x14ac:dyDescent="0.35">
      <c r="A26" s="18"/>
      <c r="B26" s="2"/>
      <c r="C26" s="2"/>
      <c r="D26" s="590" t="s">
        <v>1209</v>
      </c>
      <c r="E26" s="590"/>
      <c r="F26" s="20">
        <v>41071005</v>
      </c>
      <c r="G26" s="50" t="s">
        <v>557</v>
      </c>
      <c r="H26" s="433">
        <v>12.56</v>
      </c>
      <c r="I26" s="167">
        <f t="shared" si="0"/>
        <v>3872560.6925040004</v>
      </c>
      <c r="J26" s="484">
        <f t="shared" si="1"/>
        <v>0.12560000000000002</v>
      </c>
      <c r="K26" s="40"/>
      <c r="L26" s="2"/>
      <c r="M26" s="2"/>
      <c r="N26" s="2"/>
      <c r="O26" s="2"/>
      <c r="P26" s="2"/>
      <c r="Q26" s="49"/>
      <c r="R26" s="2"/>
      <c r="S26" s="17"/>
    </row>
    <row r="27" spans="1:19" ht="15" thickBot="1" x14ac:dyDescent="0.4">
      <c r="A27" s="219" t="s">
        <v>587</v>
      </c>
      <c r="B27" s="220"/>
      <c r="C27" s="220"/>
      <c r="D27" s="220"/>
      <c r="E27" s="220"/>
      <c r="F27" s="220"/>
      <c r="G27" s="220"/>
      <c r="H27" s="221">
        <v>100</v>
      </c>
      <c r="I27" s="222">
        <f>+SUM(I15:I26)</f>
        <v>30832489.59</v>
      </c>
      <c r="J27" s="220"/>
      <c r="K27" s="223"/>
      <c r="L27" s="220"/>
      <c r="M27" s="220"/>
      <c r="N27" s="220"/>
      <c r="O27" s="220"/>
      <c r="P27" s="220"/>
      <c r="Q27" s="224"/>
      <c r="R27" s="220"/>
      <c r="S27" s="225"/>
    </row>
    <row r="28" spans="1:19" x14ac:dyDescent="0.35">
      <c r="A28" s="51"/>
      <c r="B28" s="52"/>
      <c r="C28" s="52"/>
      <c r="D28" s="52"/>
      <c r="E28" s="52"/>
      <c r="F28" s="52"/>
      <c r="G28" s="52"/>
      <c r="H28" s="122"/>
      <c r="I28" s="123"/>
      <c r="J28" s="52"/>
      <c r="K28" s="53"/>
      <c r="L28" s="52"/>
      <c r="M28" s="52"/>
      <c r="N28" s="52"/>
      <c r="O28" s="52"/>
      <c r="P28" s="52"/>
      <c r="Q28" s="54"/>
      <c r="R28" s="52"/>
      <c r="S28" s="52"/>
    </row>
    <row r="29" spans="1:19" x14ac:dyDescent="0.35">
      <c r="A29" s="51"/>
      <c r="B29" s="52"/>
      <c r="C29" s="52"/>
      <c r="D29" s="52"/>
      <c r="E29" s="52"/>
      <c r="F29" s="52"/>
      <c r="G29" s="52"/>
      <c r="H29" s="122"/>
      <c r="I29" s="123"/>
      <c r="J29" s="52"/>
      <c r="K29" s="53"/>
      <c r="L29" s="52"/>
      <c r="M29" s="52"/>
      <c r="N29" s="52"/>
      <c r="O29" s="52"/>
      <c r="P29" s="52"/>
      <c r="Q29" s="54"/>
      <c r="R29" s="52"/>
      <c r="S29" s="52"/>
    </row>
    <row r="30" spans="1:19" ht="15" thickBot="1" x14ac:dyDescent="0.4">
      <c r="A30" s="51"/>
      <c r="B30" s="52"/>
      <c r="C30" s="52"/>
      <c r="D30" s="52"/>
      <c r="E30" s="52"/>
      <c r="F30" s="52"/>
      <c r="G30" s="52"/>
      <c r="H30" s="122"/>
      <c r="I30" s="123"/>
      <c r="J30" s="52"/>
      <c r="K30" s="53"/>
      <c r="L30" s="52"/>
      <c r="M30" s="52"/>
      <c r="N30" s="52"/>
      <c r="O30" s="52"/>
      <c r="P30" s="52"/>
      <c r="Q30" s="54"/>
      <c r="R30" s="52"/>
      <c r="S30" s="52"/>
    </row>
    <row r="31" spans="1:19" x14ac:dyDescent="0.35">
      <c r="A31" s="595" t="s">
        <v>1194</v>
      </c>
      <c r="B31" s="596"/>
      <c r="C31" s="596"/>
      <c r="D31" s="151">
        <f>+(D74+H74+L74+P74)/4</f>
        <v>0.4726175023636684</v>
      </c>
      <c r="E31" s="128"/>
      <c r="F31" s="128"/>
      <c r="G31" s="128"/>
      <c r="H31" s="129"/>
      <c r="I31" s="130"/>
      <c r="J31" s="128"/>
      <c r="K31" s="131"/>
      <c r="L31" s="128"/>
      <c r="M31" s="128"/>
      <c r="N31" s="64" t="s">
        <v>550</v>
      </c>
      <c r="O31" s="153" t="s">
        <v>780</v>
      </c>
      <c r="P31" s="153" t="s">
        <v>1000</v>
      </c>
      <c r="Q31" s="153" t="s">
        <v>766</v>
      </c>
      <c r="R31" s="154" t="s">
        <v>767</v>
      </c>
      <c r="S31" s="155" t="s">
        <v>401</v>
      </c>
    </row>
    <row r="32" spans="1:19" ht="15" thickBot="1" x14ac:dyDescent="0.4">
      <c r="A32" s="622" t="s">
        <v>1195</v>
      </c>
      <c r="B32" s="623"/>
      <c r="C32" s="623"/>
      <c r="D32" s="152">
        <v>0.5</v>
      </c>
      <c r="E32" s="52"/>
      <c r="F32" s="52"/>
      <c r="G32" s="52"/>
      <c r="H32" s="122"/>
      <c r="I32" s="123"/>
      <c r="J32" s="52"/>
      <c r="K32" s="53"/>
      <c r="L32" s="52"/>
      <c r="M32" s="52"/>
      <c r="N32" s="63" t="s">
        <v>781</v>
      </c>
      <c r="O32" s="61">
        <v>18</v>
      </c>
      <c r="P32" s="61">
        <v>4</v>
      </c>
      <c r="Q32" s="61">
        <v>15</v>
      </c>
      <c r="R32" s="62">
        <v>43</v>
      </c>
      <c r="S32" s="103">
        <f>+SUM(O32:R32)</f>
        <v>80</v>
      </c>
    </row>
    <row r="33" spans="1:19" x14ac:dyDescent="0.35">
      <c r="A33" s="398"/>
      <c r="B33" s="399"/>
      <c r="C33" s="399"/>
      <c r="D33" s="400"/>
      <c r="E33" s="52"/>
      <c r="F33" s="52"/>
      <c r="J33" s="52"/>
      <c r="K33" s="53"/>
      <c r="L33" s="52"/>
      <c r="M33" s="52"/>
      <c r="N33" s="63" t="s">
        <v>1492</v>
      </c>
      <c r="O33" s="61">
        <v>5</v>
      </c>
      <c r="P33" s="61">
        <v>1</v>
      </c>
      <c r="Q33" s="61">
        <v>8</v>
      </c>
      <c r="R33" s="62">
        <v>10</v>
      </c>
      <c r="S33" s="103">
        <f t="shared" ref="S33:S35" si="2">+SUM(O33:R33)</f>
        <v>24</v>
      </c>
    </row>
    <row r="34" spans="1:19" x14ac:dyDescent="0.35">
      <c r="A34" s="398"/>
      <c r="B34" s="399"/>
      <c r="C34" s="399"/>
      <c r="D34" s="400"/>
      <c r="E34" s="52"/>
      <c r="F34" s="52"/>
      <c r="J34" s="52"/>
      <c r="K34" s="53"/>
      <c r="L34" s="52"/>
      <c r="M34" s="52"/>
      <c r="N34" s="63" t="s">
        <v>1498</v>
      </c>
      <c r="O34" s="61">
        <v>7</v>
      </c>
      <c r="P34" s="61">
        <v>5</v>
      </c>
      <c r="Q34" s="61">
        <v>30</v>
      </c>
      <c r="R34" s="62">
        <v>41</v>
      </c>
      <c r="S34" s="103">
        <f t="shared" si="2"/>
        <v>83</v>
      </c>
    </row>
    <row r="35" spans="1:19" x14ac:dyDescent="0.35">
      <c r="A35" s="51"/>
      <c r="B35" s="52"/>
      <c r="C35" s="52"/>
      <c r="D35" s="52"/>
      <c r="E35" s="52"/>
      <c r="F35" s="52"/>
      <c r="J35" s="52"/>
      <c r="K35" s="53"/>
      <c r="L35" s="52"/>
      <c r="M35" s="52"/>
      <c r="N35" s="63" t="s">
        <v>1545</v>
      </c>
      <c r="O35" s="61">
        <v>6</v>
      </c>
      <c r="P35" s="61">
        <v>1</v>
      </c>
      <c r="Q35" s="61">
        <v>9</v>
      </c>
      <c r="R35" s="62">
        <v>28</v>
      </c>
      <c r="S35" s="103">
        <f t="shared" si="2"/>
        <v>44</v>
      </c>
    </row>
    <row r="36" spans="1:19" x14ac:dyDescent="0.35">
      <c r="A36" s="51"/>
      <c r="B36" s="52"/>
      <c r="C36" s="52"/>
      <c r="D36" s="52"/>
      <c r="E36" s="52"/>
      <c r="F36" s="52"/>
      <c r="G36" s="52"/>
      <c r="H36" s="122"/>
      <c r="I36" s="123"/>
      <c r="J36" s="52"/>
      <c r="K36" s="53"/>
      <c r="L36" s="52"/>
      <c r="M36" s="52"/>
      <c r="N36" s="63"/>
      <c r="O36" s="61"/>
      <c r="P36" s="61"/>
      <c r="Q36" s="61"/>
      <c r="R36" s="62"/>
      <c r="S36" s="103"/>
    </row>
    <row r="37" spans="1:19" x14ac:dyDescent="0.35">
      <c r="A37" s="51"/>
      <c r="B37" s="52"/>
      <c r="C37" s="52"/>
      <c r="D37" s="52"/>
      <c r="E37" s="52"/>
      <c r="F37" s="52"/>
      <c r="G37" s="52"/>
      <c r="H37" s="122"/>
      <c r="I37" s="123"/>
      <c r="J37" s="52"/>
      <c r="K37" s="53"/>
      <c r="L37" s="52"/>
      <c r="M37" s="52"/>
      <c r="N37" s="156" t="s">
        <v>401</v>
      </c>
      <c r="O37" s="157">
        <f>SUM(O32:O36)</f>
        <v>36</v>
      </c>
      <c r="P37" s="157">
        <f>+SUM(P32:P36)/3</f>
        <v>3.6666666666666665</v>
      </c>
      <c r="Q37" s="157">
        <f>+SUM(Q32:Q36)/6</f>
        <v>10.333333333333334</v>
      </c>
      <c r="R37" s="158">
        <f>+SUM(R32:R36)/12</f>
        <v>10.166666666666666</v>
      </c>
      <c r="S37" s="159">
        <f>+SUM(S32:S36)</f>
        <v>231</v>
      </c>
    </row>
    <row r="38" spans="1:19" ht="15" thickBot="1" x14ac:dyDescent="0.4">
      <c r="A38" s="51"/>
      <c r="B38" s="52"/>
      <c r="C38" s="52"/>
      <c r="D38" s="52"/>
      <c r="E38" s="52"/>
      <c r="F38" s="52"/>
      <c r="G38" s="52"/>
      <c r="H38" s="122"/>
      <c r="I38" s="123"/>
      <c r="J38" s="52"/>
      <c r="K38" s="53"/>
      <c r="L38" s="52"/>
      <c r="M38" s="52"/>
      <c r="N38" s="629"/>
      <c r="O38" s="630"/>
      <c r="P38" s="630"/>
      <c r="Q38" s="630"/>
      <c r="R38" s="631"/>
      <c r="S38" s="160"/>
    </row>
    <row r="39" spans="1:19" ht="15" thickBot="1" x14ac:dyDescent="0.4">
      <c r="A39" s="591" t="s">
        <v>1154</v>
      </c>
      <c r="B39" s="592"/>
      <c r="C39" s="592"/>
      <c r="D39" s="592"/>
      <c r="E39" s="592"/>
      <c r="F39" s="592"/>
      <c r="G39" s="592"/>
      <c r="H39" s="592"/>
      <c r="I39" s="592"/>
      <c r="J39" s="592"/>
      <c r="K39" s="592"/>
      <c r="L39" s="592"/>
      <c r="M39" s="592"/>
      <c r="N39" s="592"/>
      <c r="O39" s="592"/>
      <c r="P39" s="592"/>
      <c r="Q39" s="592"/>
      <c r="R39" s="592"/>
      <c r="S39" s="593"/>
    </row>
    <row r="40" spans="1:19" x14ac:dyDescent="0.35">
      <c r="A40" s="607" t="s">
        <v>771</v>
      </c>
      <c r="B40" s="605" t="s">
        <v>549</v>
      </c>
      <c r="C40" s="584" t="s">
        <v>1548</v>
      </c>
      <c r="D40" s="586"/>
      <c r="E40" s="584" t="s">
        <v>1524</v>
      </c>
      <c r="F40" s="585"/>
      <c r="G40" s="585"/>
      <c r="H40" s="586"/>
      <c r="I40" s="584" t="s">
        <v>1525</v>
      </c>
      <c r="J40" s="585"/>
      <c r="K40" s="585"/>
      <c r="L40" s="586"/>
      <c r="M40" s="584" t="s">
        <v>1526</v>
      </c>
      <c r="N40" s="585"/>
      <c r="O40" s="585"/>
      <c r="P40" s="586"/>
      <c r="Q40" s="585" t="s">
        <v>1495</v>
      </c>
      <c r="R40" s="585"/>
      <c r="S40" s="586"/>
    </row>
    <row r="41" spans="1:19" ht="15" thickBot="1" x14ac:dyDescent="0.4">
      <c r="A41" s="608"/>
      <c r="B41" s="606"/>
      <c r="C41" s="121" t="s">
        <v>1150</v>
      </c>
      <c r="D41" s="150" t="s">
        <v>1151</v>
      </c>
      <c r="E41" s="149" t="s">
        <v>1150</v>
      </c>
      <c r="F41" s="16" t="s">
        <v>1152</v>
      </c>
      <c r="G41" s="16" t="s">
        <v>1153</v>
      </c>
      <c r="H41" s="19" t="s">
        <v>1151</v>
      </c>
      <c r="I41" s="69" t="s">
        <v>772</v>
      </c>
      <c r="J41" s="71" t="s">
        <v>768</v>
      </c>
      <c r="K41" s="71" t="s">
        <v>769</v>
      </c>
      <c r="L41" s="70" t="s">
        <v>770</v>
      </c>
      <c r="M41" s="69" t="s">
        <v>772</v>
      </c>
      <c r="N41" s="71" t="s">
        <v>768</v>
      </c>
      <c r="O41" s="71" t="s">
        <v>769</v>
      </c>
      <c r="P41" s="70" t="s">
        <v>770</v>
      </c>
      <c r="Q41" s="72" t="s">
        <v>773</v>
      </c>
      <c r="R41" s="71" t="s">
        <v>1001</v>
      </c>
      <c r="S41" s="19" t="s">
        <v>774</v>
      </c>
    </row>
    <row r="42" spans="1:19" s="256" customFormat="1" hidden="1" outlineLevel="1" x14ac:dyDescent="0.35">
      <c r="A42" s="246">
        <v>1</v>
      </c>
      <c r="B42" s="247">
        <v>44287</v>
      </c>
      <c r="C42" s="248" t="e">
        <f>COUNTIF('BASE AA'!#REF!,"=1")</f>
        <v>#REF!</v>
      </c>
      <c r="D42" s="203" t="e">
        <f>+C42/$O$37</f>
        <v>#REF!</v>
      </c>
      <c r="E42" s="204" t="e">
        <f>COUNTIF('BASE AA'!#REF!,"=2")</f>
        <v>#REF!</v>
      </c>
      <c r="F42" s="249" t="e">
        <f>+E42</f>
        <v>#REF!</v>
      </c>
      <c r="G42" s="249">
        <f>+P37</f>
        <v>3.6666666666666665</v>
      </c>
      <c r="H42" s="250" t="e">
        <f>F42/G42</f>
        <v>#REF!</v>
      </c>
      <c r="I42" s="251" t="e">
        <f>COUNTIF('BASE AA'!#REF!,"=3")</f>
        <v>#REF!</v>
      </c>
      <c r="J42" s="249" t="e">
        <f>+I42</f>
        <v>#REF!</v>
      </c>
      <c r="K42" s="249">
        <f>+Q37</f>
        <v>10.333333333333334</v>
      </c>
      <c r="L42" s="252" t="e">
        <f>J42/K42</f>
        <v>#REF!</v>
      </c>
      <c r="M42" s="246" t="e">
        <f>COUNTIF('BASE AA'!#REF!,"=4")</f>
        <v>#REF!</v>
      </c>
      <c r="N42" s="253" t="e">
        <f>+M42</f>
        <v>#REF!</v>
      </c>
      <c r="O42" s="249">
        <f>+R37</f>
        <v>10.166666666666666</v>
      </c>
      <c r="P42" s="250" t="e">
        <f>+N42/O42</f>
        <v>#REF!</v>
      </c>
      <c r="Q42" s="254" t="e">
        <f>+I42+E42+C42+M42</f>
        <v>#REF!</v>
      </c>
      <c r="R42" s="205">
        <v>8</v>
      </c>
      <c r="S42" s="255" t="e">
        <f>+R42+Q42</f>
        <v>#REF!</v>
      </c>
    </row>
    <row r="43" spans="1:19" s="256" customFormat="1" hidden="1" outlineLevel="1" x14ac:dyDescent="0.35">
      <c r="A43" s="257">
        <f>+A42+1</f>
        <v>2</v>
      </c>
      <c r="B43" s="258">
        <v>44317</v>
      </c>
      <c r="C43" s="208" t="e">
        <f>COUNTIF('BASE AA'!#REF!,"=1")</f>
        <v>#REF!</v>
      </c>
      <c r="D43" s="203" t="e">
        <f t="shared" ref="D43:D53" si="3">+C43/$O$37</f>
        <v>#REF!</v>
      </c>
      <c r="E43" s="204" t="e">
        <f>COUNTIF('BASE AA'!#REF!,"=2")</f>
        <v>#REF!</v>
      </c>
      <c r="F43" s="209" t="e">
        <f>+F42+E43</f>
        <v>#REF!</v>
      </c>
      <c r="G43" s="209">
        <f>A43*$G$42</f>
        <v>7.333333333333333</v>
      </c>
      <c r="H43" s="259" t="e">
        <f>F43/G43</f>
        <v>#REF!</v>
      </c>
      <c r="I43" s="210" t="e">
        <f>COUNTIF('BASE AA'!#REF!,"=3")</f>
        <v>#REF!</v>
      </c>
      <c r="J43" s="209" t="e">
        <f t="shared" ref="J43:J50" si="4">+J42+I43</f>
        <v>#REF!</v>
      </c>
      <c r="K43" s="209">
        <f>A43*$K$42</f>
        <v>20.666666666666668</v>
      </c>
      <c r="L43" s="260" t="e">
        <f t="shared" ref="L43:L48" si="5">J43/K43</f>
        <v>#REF!</v>
      </c>
      <c r="M43" s="261" t="e">
        <f>COUNTIF('BASE AA'!#REF!,"=4")</f>
        <v>#REF!</v>
      </c>
      <c r="N43" s="262" t="e">
        <f>+M43+N42</f>
        <v>#REF!</v>
      </c>
      <c r="O43" s="263">
        <f>+A43*$O$42</f>
        <v>20.333333333333332</v>
      </c>
      <c r="P43" s="264" t="e">
        <f t="shared" ref="P43:P53" si="6">+N43/O43</f>
        <v>#REF!</v>
      </c>
      <c r="Q43" s="265" t="e">
        <f t="shared" ref="Q43:Q53" si="7">+I43+E43+C43+M43</f>
        <v>#REF!</v>
      </c>
      <c r="R43" s="205">
        <v>7</v>
      </c>
      <c r="S43" s="266" t="e">
        <f t="shared" ref="S43:S48" si="8">+R43+Q43</f>
        <v>#REF!</v>
      </c>
    </row>
    <row r="44" spans="1:19" s="256" customFormat="1" hidden="1" outlineLevel="1" x14ac:dyDescent="0.35">
      <c r="A44" s="257">
        <f t="shared" ref="A44:A53" si="9">+A43+1</f>
        <v>3</v>
      </c>
      <c r="B44" s="258">
        <v>44348</v>
      </c>
      <c r="C44" s="208" t="e">
        <f>COUNTIF('BASE AA'!#REF!,"=1")</f>
        <v>#REF!</v>
      </c>
      <c r="D44" s="203" t="e">
        <f t="shared" si="3"/>
        <v>#REF!</v>
      </c>
      <c r="E44" s="204" t="e">
        <f>COUNTIF('BASE AA'!#REF!,"=2")</f>
        <v>#REF!</v>
      </c>
      <c r="F44" s="209" t="e">
        <f t="shared" ref="F44:F50" si="10">+F43+E44</f>
        <v>#REF!</v>
      </c>
      <c r="G44" s="209">
        <f>A44*$G$42</f>
        <v>11</v>
      </c>
      <c r="H44" s="259" t="e">
        <f t="shared" ref="H44:H50" si="11">F44/G44</f>
        <v>#REF!</v>
      </c>
      <c r="I44" s="210" t="e">
        <f>COUNTIF('BASE AA'!#REF!,"=3")</f>
        <v>#REF!</v>
      </c>
      <c r="J44" s="209" t="e">
        <f t="shared" si="4"/>
        <v>#REF!</v>
      </c>
      <c r="K44" s="209">
        <f>A44*$K$42</f>
        <v>31</v>
      </c>
      <c r="L44" s="260" t="e">
        <f t="shared" si="5"/>
        <v>#REF!</v>
      </c>
      <c r="M44" s="261" t="e">
        <f>COUNTIF('BASE AA'!#REF!,"=4")</f>
        <v>#REF!</v>
      </c>
      <c r="N44" s="262" t="e">
        <f t="shared" ref="N44:N53" si="12">+M44+N43</f>
        <v>#REF!</v>
      </c>
      <c r="O44" s="263">
        <f t="shared" ref="O44:O53" si="13">+A44*$O$42</f>
        <v>30.5</v>
      </c>
      <c r="P44" s="264" t="e">
        <f t="shared" si="6"/>
        <v>#REF!</v>
      </c>
      <c r="Q44" s="265" t="e">
        <f t="shared" si="7"/>
        <v>#REF!</v>
      </c>
      <c r="R44" s="205">
        <v>4</v>
      </c>
      <c r="S44" s="266" t="e">
        <f t="shared" si="8"/>
        <v>#REF!</v>
      </c>
    </row>
    <row r="45" spans="1:19" s="256" customFormat="1" hidden="1" outlineLevel="1" x14ac:dyDescent="0.35">
      <c r="A45" s="257">
        <f t="shared" si="9"/>
        <v>4</v>
      </c>
      <c r="B45" s="258">
        <v>44378</v>
      </c>
      <c r="C45" s="208" t="e">
        <f>COUNTIF('BASE AA'!#REF!,"=1")</f>
        <v>#REF!</v>
      </c>
      <c r="D45" s="203" t="e">
        <f t="shared" si="3"/>
        <v>#REF!</v>
      </c>
      <c r="E45" s="204" t="e">
        <f>COUNTIF('BASE AA'!#REF!,"=2")</f>
        <v>#REF!</v>
      </c>
      <c r="F45" s="209" t="e">
        <f>+E45</f>
        <v>#REF!</v>
      </c>
      <c r="G45" s="209">
        <f>+P37</f>
        <v>3.6666666666666665</v>
      </c>
      <c r="H45" s="259" t="e">
        <f t="shared" si="11"/>
        <v>#REF!</v>
      </c>
      <c r="I45" s="210" t="e">
        <f>COUNTIF('BASE AA'!#REF!,"=3")</f>
        <v>#REF!</v>
      </c>
      <c r="J45" s="209" t="e">
        <f t="shared" si="4"/>
        <v>#REF!</v>
      </c>
      <c r="K45" s="209">
        <f>A45*$K$42</f>
        <v>41.333333333333336</v>
      </c>
      <c r="L45" s="260" t="e">
        <f t="shared" si="5"/>
        <v>#REF!</v>
      </c>
      <c r="M45" s="261" t="e">
        <f>COUNTIF('BASE AA'!#REF!,"=4")</f>
        <v>#REF!</v>
      </c>
      <c r="N45" s="262" t="e">
        <f t="shared" si="12"/>
        <v>#REF!</v>
      </c>
      <c r="O45" s="263">
        <f t="shared" si="13"/>
        <v>40.666666666666664</v>
      </c>
      <c r="P45" s="264" t="e">
        <f t="shared" si="6"/>
        <v>#REF!</v>
      </c>
      <c r="Q45" s="265" t="e">
        <f t="shared" si="7"/>
        <v>#REF!</v>
      </c>
      <c r="R45" s="205">
        <v>8</v>
      </c>
      <c r="S45" s="266" t="e">
        <f t="shared" si="8"/>
        <v>#REF!</v>
      </c>
    </row>
    <row r="46" spans="1:19" s="256" customFormat="1" hidden="1" outlineLevel="1" x14ac:dyDescent="0.35">
      <c r="A46" s="257">
        <f t="shared" si="9"/>
        <v>5</v>
      </c>
      <c r="B46" s="258">
        <v>44409</v>
      </c>
      <c r="C46" s="208" t="e">
        <f>COUNTIF('BASE AA'!#REF!,"=1")</f>
        <v>#REF!</v>
      </c>
      <c r="D46" s="203" t="e">
        <f t="shared" si="3"/>
        <v>#REF!</v>
      </c>
      <c r="E46" s="204" t="e">
        <f>COUNTIF('BASE AA'!#REF!,"=2")</f>
        <v>#REF!</v>
      </c>
      <c r="F46" s="209" t="e">
        <f t="shared" si="10"/>
        <v>#REF!</v>
      </c>
      <c r="G46" s="209">
        <f>+G45*A43</f>
        <v>7.333333333333333</v>
      </c>
      <c r="H46" s="259" t="e">
        <f t="shared" si="11"/>
        <v>#REF!</v>
      </c>
      <c r="I46" s="210" t="e">
        <f>COUNTIF('BASE AA'!#REF!,"=3")</f>
        <v>#REF!</v>
      </c>
      <c r="J46" s="209" t="e">
        <f t="shared" si="4"/>
        <v>#REF!</v>
      </c>
      <c r="K46" s="209">
        <f>A46*$K$42</f>
        <v>51.666666666666671</v>
      </c>
      <c r="L46" s="260" t="e">
        <f t="shared" si="5"/>
        <v>#REF!</v>
      </c>
      <c r="M46" s="261" t="e">
        <f>COUNTIF('BASE AA'!#REF!,"=4")</f>
        <v>#REF!</v>
      </c>
      <c r="N46" s="262" t="e">
        <f t="shared" si="12"/>
        <v>#REF!</v>
      </c>
      <c r="O46" s="263">
        <f t="shared" si="13"/>
        <v>50.833333333333329</v>
      </c>
      <c r="P46" s="264" t="e">
        <f t="shared" si="6"/>
        <v>#REF!</v>
      </c>
      <c r="Q46" s="265" t="e">
        <f t="shared" si="7"/>
        <v>#REF!</v>
      </c>
      <c r="R46" s="205">
        <v>10</v>
      </c>
      <c r="S46" s="266" t="e">
        <f t="shared" si="8"/>
        <v>#REF!</v>
      </c>
    </row>
    <row r="47" spans="1:19" s="256" customFormat="1" hidden="1" outlineLevel="1" x14ac:dyDescent="0.35">
      <c r="A47" s="257">
        <f t="shared" si="9"/>
        <v>6</v>
      </c>
      <c r="B47" s="258">
        <v>44440</v>
      </c>
      <c r="C47" s="208" t="e">
        <f>COUNTIF('BASE AA'!#REF!,"=1")</f>
        <v>#REF!</v>
      </c>
      <c r="D47" s="203" t="e">
        <f t="shared" si="3"/>
        <v>#REF!</v>
      </c>
      <c r="E47" s="204">
        <v>12</v>
      </c>
      <c r="F47" s="209" t="e">
        <f t="shared" si="10"/>
        <v>#REF!</v>
      </c>
      <c r="G47" s="209">
        <f>+G45*A44</f>
        <v>11</v>
      </c>
      <c r="H47" s="259" t="e">
        <f t="shared" si="11"/>
        <v>#REF!</v>
      </c>
      <c r="I47" s="210" t="e">
        <f>COUNTIF('BASE AA'!#REF!,"=3")</f>
        <v>#REF!</v>
      </c>
      <c r="J47" s="209" t="e">
        <f t="shared" si="4"/>
        <v>#REF!</v>
      </c>
      <c r="K47" s="209">
        <f>A47*$K$42</f>
        <v>62</v>
      </c>
      <c r="L47" s="260" t="e">
        <f t="shared" si="5"/>
        <v>#REF!</v>
      </c>
      <c r="M47" s="261" t="e">
        <f>COUNTIF('BASE AA'!#REF!,"=4")</f>
        <v>#REF!</v>
      </c>
      <c r="N47" s="262" t="e">
        <f t="shared" si="12"/>
        <v>#REF!</v>
      </c>
      <c r="O47" s="263">
        <f t="shared" si="13"/>
        <v>61</v>
      </c>
      <c r="P47" s="264" t="e">
        <f t="shared" si="6"/>
        <v>#REF!</v>
      </c>
      <c r="Q47" s="265" t="e">
        <f t="shared" si="7"/>
        <v>#REF!</v>
      </c>
      <c r="R47" s="205">
        <v>19</v>
      </c>
      <c r="S47" s="266" t="e">
        <f>+R47+Q47</f>
        <v>#REF!</v>
      </c>
    </row>
    <row r="48" spans="1:19" s="256" customFormat="1" hidden="1" outlineLevel="1" x14ac:dyDescent="0.35">
      <c r="A48" s="257">
        <f t="shared" si="9"/>
        <v>7</v>
      </c>
      <c r="B48" s="258">
        <v>44470</v>
      </c>
      <c r="C48" s="208" t="e">
        <f>COUNTIF('BASE AA'!#REF!,"=1")</f>
        <v>#REF!</v>
      </c>
      <c r="D48" s="203" t="e">
        <f t="shared" si="3"/>
        <v>#REF!</v>
      </c>
      <c r="E48" s="204">
        <v>9</v>
      </c>
      <c r="F48" s="209">
        <f>+E48</f>
        <v>9</v>
      </c>
      <c r="G48" s="209">
        <f>+P37</f>
        <v>3.6666666666666665</v>
      </c>
      <c r="H48" s="259">
        <f t="shared" si="11"/>
        <v>2.4545454545454546</v>
      </c>
      <c r="I48" s="210" t="e">
        <f>COUNTIF('BASE AA'!#REF!,"=3")</f>
        <v>#REF!</v>
      </c>
      <c r="J48" s="209" t="e">
        <f>+I48</f>
        <v>#REF!</v>
      </c>
      <c r="K48" s="209">
        <v>14</v>
      </c>
      <c r="L48" s="260" t="e">
        <f t="shared" si="5"/>
        <v>#REF!</v>
      </c>
      <c r="M48" s="261" t="e">
        <f>COUNTIF('BASE AA'!#REF!,"=4")</f>
        <v>#REF!</v>
      </c>
      <c r="N48" s="262" t="e">
        <f>+M48+N47</f>
        <v>#REF!</v>
      </c>
      <c r="O48" s="263">
        <f t="shared" si="13"/>
        <v>71.166666666666657</v>
      </c>
      <c r="P48" s="264" t="e">
        <f t="shared" si="6"/>
        <v>#REF!</v>
      </c>
      <c r="Q48" s="265" t="e">
        <f t="shared" si="7"/>
        <v>#REF!</v>
      </c>
      <c r="R48" s="205">
        <v>21</v>
      </c>
      <c r="S48" s="266" t="e">
        <f t="shared" si="8"/>
        <v>#REF!</v>
      </c>
    </row>
    <row r="49" spans="1:19" s="256" customFormat="1" hidden="1" outlineLevel="1" x14ac:dyDescent="0.35">
      <c r="A49" s="257">
        <f t="shared" si="9"/>
        <v>8</v>
      </c>
      <c r="B49" s="258">
        <v>44501</v>
      </c>
      <c r="C49" s="208" t="e">
        <f>COUNTIF('BASE AA'!#REF!,"=1")</f>
        <v>#REF!</v>
      </c>
      <c r="D49" s="203" t="e">
        <f t="shared" si="3"/>
        <v>#REF!</v>
      </c>
      <c r="E49" s="204" t="e">
        <f>COUNTIF('BASE AA'!#REF!,"=2")</f>
        <v>#REF!</v>
      </c>
      <c r="F49" s="209" t="e">
        <f t="shared" si="10"/>
        <v>#REF!</v>
      </c>
      <c r="G49" s="209">
        <f>+G48*A43</f>
        <v>7.333333333333333</v>
      </c>
      <c r="H49" s="259" t="e">
        <f t="shared" si="11"/>
        <v>#REF!</v>
      </c>
      <c r="I49" s="210" t="e">
        <f>COUNTIF('BASE AA'!#REF!,"=3")</f>
        <v>#REF!</v>
      </c>
      <c r="J49" s="209" t="e">
        <f t="shared" si="4"/>
        <v>#REF!</v>
      </c>
      <c r="K49" s="209">
        <v>28</v>
      </c>
      <c r="L49" s="260" t="e">
        <f t="shared" ref="L49:L54" si="14">J49/K49</f>
        <v>#REF!</v>
      </c>
      <c r="M49" s="261" t="e">
        <f>COUNTIF('BASE AA'!#REF!,"=4")</f>
        <v>#REF!</v>
      </c>
      <c r="N49" s="262" t="e">
        <f t="shared" si="12"/>
        <v>#REF!</v>
      </c>
      <c r="O49" s="263">
        <f t="shared" si="13"/>
        <v>81.333333333333329</v>
      </c>
      <c r="P49" s="264" t="e">
        <f t="shared" si="6"/>
        <v>#REF!</v>
      </c>
      <c r="Q49" s="265" t="e">
        <f t="shared" si="7"/>
        <v>#REF!</v>
      </c>
      <c r="R49" s="205">
        <v>20</v>
      </c>
      <c r="S49" s="267" t="e">
        <f t="shared" ref="S49:S54" si="15">+R49+Q49</f>
        <v>#REF!</v>
      </c>
    </row>
    <row r="50" spans="1:19" s="256" customFormat="1" hidden="1" outlineLevel="1" x14ac:dyDescent="0.35">
      <c r="A50" s="257">
        <f t="shared" si="9"/>
        <v>9</v>
      </c>
      <c r="B50" s="258">
        <v>44531</v>
      </c>
      <c r="C50" s="208" t="e">
        <f>COUNTIF('BASE AA'!#REF!,"=1")</f>
        <v>#REF!</v>
      </c>
      <c r="D50" s="203" t="e">
        <f t="shared" si="3"/>
        <v>#REF!</v>
      </c>
      <c r="E50" s="204" t="e">
        <f>COUNTIF('BASE AA'!#REF!,"=2")</f>
        <v>#REF!</v>
      </c>
      <c r="F50" s="209" t="e">
        <f t="shared" si="10"/>
        <v>#REF!</v>
      </c>
      <c r="G50" s="209">
        <f>+G48*A44</f>
        <v>11</v>
      </c>
      <c r="H50" s="259" t="e">
        <f t="shared" si="11"/>
        <v>#REF!</v>
      </c>
      <c r="I50" s="210" t="e">
        <f>COUNTIF('BASE AA'!#REF!,"=3")</f>
        <v>#REF!</v>
      </c>
      <c r="J50" s="209" t="e">
        <f t="shared" si="4"/>
        <v>#REF!</v>
      </c>
      <c r="K50" s="209">
        <v>42</v>
      </c>
      <c r="L50" s="260" t="e">
        <f t="shared" si="14"/>
        <v>#REF!</v>
      </c>
      <c r="M50" s="261" t="e">
        <f>COUNTIF('BASE AA'!#REF!,"=4")</f>
        <v>#REF!</v>
      </c>
      <c r="N50" s="262" t="e">
        <f t="shared" si="12"/>
        <v>#REF!</v>
      </c>
      <c r="O50" s="263">
        <f t="shared" si="13"/>
        <v>91.5</v>
      </c>
      <c r="P50" s="264" t="e">
        <f t="shared" si="6"/>
        <v>#REF!</v>
      </c>
      <c r="Q50" s="265" t="e">
        <f t="shared" si="7"/>
        <v>#REF!</v>
      </c>
      <c r="R50" s="205">
        <v>17</v>
      </c>
      <c r="S50" s="267" t="e">
        <f t="shared" si="15"/>
        <v>#REF!</v>
      </c>
    </row>
    <row r="51" spans="1:19" s="256" customFormat="1" hidden="1" outlineLevel="1" x14ac:dyDescent="0.35">
      <c r="A51" s="257">
        <f t="shared" si="9"/>
        <v>10</v>
      </c>
      <c r="B51" s="258">
        <v>44562</v>
      </c>
      <c r="C51" s="208" t="e">
        <f>COUNTIF('BASE AA'!#REF!,"=1")</f>
        <v>#REF!</v>
      </c>
      <c r="D51" s="203" t="e">
        <f t="shared" si="3"/>
        <v>#REF!</v>
      </c>
      <c r="E51" s="204" t="e">
        <f>COUNTIF('BASE AA'!#REF!,"=2")</f>
        <v>#REF!</v>
      </c>
      <c r="F51" s="209" t="e">
        <f>+E51</f>
        <v>#REF!</v>
      </c>
      <c r="G51" s="209">
        <f>+P37</f>
        <v>3.6666666666666665</v>
      </c>
      <c r="H51" s="259" t="e">
        <f>F51/G51</f>
        <v>#REF!</v>
      </c>
      <c r="I51" s="210" t="e">
        <f>COUNTIF('BASE AA'!#REF!,"=3")</f>
        <v>#REF!</v>
      </c>
      <c r="J51" s="209" t="e">
        <f>+J50+I51</f>
        <v>#REF!</v>
      </c>
      <c r="K51" s="209">
        <v>56</v>
      </c>
      <c r="L51" s="260" t="e">
        <f t="shared" si="14"/>
        <v>#REF!</v>
      </c>
      <c r="M51" s="261" t="e">
        <f>COUNTIF('BASE AA'!#REF!,"=4")</f>
        <v>#REF!</v>
      </c>
      <c r="N51" s="262" t="e">
        <f t="shared" si="12"/>
        <v>#REF!</v>
      </c>
      <c r="O51" s="263">
        <f t="shared" si="13"/>
        <v>101.66666666666666</v>
      </c>
      <c r="P51" s="264" t="e">
        <f t="shared" si="6"/>
        <v>#REF!</v>
      </c>
      <c r="Q51" s="265" t="e">
        <f t="shared" si="7"/>
        <v>#REF!</v>
      </c>
      <c r="R51" s="205">
        <v>21</v>
      </c>
      <c r="S51" s="267" t="e">
        <f t="shared" si="15"/>
        <v>#REF!</v>
      </c>
    </row>
    <row r="52" spans="1:19" s="256" customFormat="1" hidden="1" outlineLevel="1" x14ac:dyDescent="0.35">
      <c r="A52" s="257">
        <f t="shared" si="9"/>
        <v>11</v>
      </c>
      <c r="B52" s="258">
        <v>44593</v>
      </c>
      <c r="C52" s="208" t="e">
        <f>COUNTIF('BASE AA'!#REF!,"=1")</f>
        <v>#REF!</v>
      </c>
      <c r="D52" s="203" t="e">
        <f t="shared" si="3"/>
        <v>#REF!</v>
      </c>
      <c r="E52" s="204" t="e">
        <f>COUNTIF('BASE AA'!#REF!,"=2")</f>
        <v>#REF!</v>
      </c>
      <c r="F52" s="209" t="e">
        <f>+F51+E52</f>
        <v>#REF!</v>
      </c>
      <c r="G52" s="209">
        <f>+G51*A43</f>
        <v>7.333333333333333</v>
      </c>
      <c r="H52" s="259" t="e">
        <f>F52/G52</f>
        <v>#REF!</v>
      </c>
      <c r="I52" s="210" t="e">
        <f>COUNTIF('BASE AA'!#REF!,"=3")</f>
        <v>#REF!</v>
      </c>
      <c r="J52" s="209" t="e">
        <f>+J51+I52</f>
        <v>#REF!</v>
      </c>
      <c r="K52" s="209">
        <v>70</v>
      </c>
      <c r="L52" s="260" t="e">
        <f t="shared" si="14"/>
        <v>#REF!</v>
      </c>
      <c r="M52" s="261" t="e">
        <f>COUNTIF('BASE AA'!#REF!,"=4")</f>
        <v>#REF!</v>
      </c>
      <c r="N52" s="262" t="e">
        <f t="shared" si="12"/>
        <v>#REF!</v>
      </c>
      <c r="O52" s="263">
        <f t="shared" si="13"/>
        <v>111.83333333333333</v>
      </c>
      <c r="P52" s="264" t="e">
        <f t="shared" si="6"/>
        <v>#REF!</v>
      </c>
      <c r="Q52" s="265" t="e">
        <f t="shared" si="7"/>
        <v>#REF!</v>
      </c>
      <c r="R52" s="205">
        <v>17</v>
      </c>
      <c r="S52" s="267" t="e">
        <f t="shared" si="15"/>
        <v>#REF!</v>
      </c>
    </row>
    <row r="53" spans="1:19" s="256" customFormat="1" ht="15" hidden="1" outlineLevel="1" thickBot="1" x14ac:dyDescent="0.4">
      <c r="A53" s="240">
        <f t="shared" si="9"/>
        <v>12</v>
      </c>
      <c r="B53" s="258">
        <v>44621</v>
      </c>
      <c r="C53" s="272" t="e">
        <f>COUNTIF('BASE AA'!#REF!,"=1")</f>
        <v>#REF!</v>
      </c>
      <c r="D53" s="273" t="e">
        <f t="shared" si="3"/>
        <v>#REF!</v>
      </c>
      <c r="E53" s="204" t="e">
        <f>COUNTIF('BASE AA'!#REF!,"=2")</f>
        <v>#REF!</v>
      </c>
      <c r="F53" s="229" t="e">
        <f>+F52+E53</f>
        <v>#REF!</v>
      </c>
      <c r="G53" s="230">
        <f>+G51*A44</f>
        <v>11</v>
      </c>
      <c r="H53" s="231" t="e">
        <f>F53/G53</f>
        <v>#REF!</v>
      </c>
      <c r="I53" s="232" t="e">
        <f>COUNTIF('BASE AA'!#REF!,"=3")</f>
        <v>#REF!</v>
      </c>
      <c r="J53" s="230" t="e">
        <f>+J52+I53</f>
        <v>#REF!</v>
      </c>
      <c r="K53" s="230">
        <v>84</v>
      </c>
      <c r="L53" s="233" t="e">
        <f t="shared" si="14"/>
        <v>#REF!</v>
      </c>
      <c r="M53" s="234" t="e">
        <f>COUNTIF('BASE AA'!#REF!,"=4")</f>
        <v>#REF!</v>
      </c>
      <c r="N53" s="235" t="e">
        <f t="shared" si="12"/>
        <v>#REF!</v>
      </c>
      <c r="O53" s="236">
        <f t="shared" si="13"/>
        <v>122</v>
      </c>
      <c r="P53" s="237" t="e">
        <f t="shared" si="6"/>
        <v>#REF!</v>
      </c>
      <c r="Q53" s="290" t="e">
        <f t="shared" si="7"/>
        <v>#REF!</v>
      </c>
      <c r="R53" s="291">
        <f>COUNTIF(CORRECTIVOS!B:F,CORRECTIVOS!A$5)</f>
        <v>0</v>
      </c>
      <c r="S53" s="292" t="e">
        <f t="shared" si="15"/>
        <v>#REF!</v>
      </c>
    </row>
    <row r="54" spans="1:19" hidden="1" outlineLevel="1" x14ac:dyDescent="0.35">
      <c r="A54" s="79">
        <v>1</v>
      </c>
      <c r="B54" s="97">
        <v>44652</v>
      </c>
      <c r="C54" s="268" t="e">
        <f>COUNTIF('BASE AA'!#REF!,"=1")</f>
        <v>#REF!</v>
      </c>
      <c r="D54" s="274" t="e">
        <f>+C54/$O$37</f>
        <v>#REF!</v>
      </c>
      <c r="E54" s="268" t="e">
        <f>COUNTIF('BASE AA'!#REF!,"=2")</f>
        <v>#REF!</v>
      </c>
      <c r="F54" s="275" t="e">
        <f>+E54</f>
        <v>#REF!</v>
      </c>
      <c r="G54" s="275">
        <f>+$P$37</f>
        <v>3.6666666666666665</v>
      </c>
      <c r="H54" s="274" t="e">
        <f>F54/G54</f>
        <v>#REF!</v>
      </c>
      <c r="I54" s="277" t="e">
        <f>COUNTIF('BASE AA'!#REF!,"=3")</f>
        <v>#REF!</v>
      </c>
      <c r="J54" s="275" t="e">
        <f>+I54</f>
        <v>#REF!</v>
      </c>
      <c r="K54" s="275">
        <f>+$Q$37</f>
        <v>10.333333333333334</v>
      </c>
      <c r="L54" s="274" t="e">
        <f t="shared" si="14"/>
        <v>#REF!</v>
      </c>
      <c r="M54" s="279" t="e">
        <f>COUNTIF('BASE AA'!#REF!,"=4")</f>
        <v>#REF!</v>
      </c>
      <c r="N54" s="280" t="e">
        <f>+M54</f>
        <v>#REF!</v>
      </c>
      <c r="O54" s="275">
        <f>+$R$37</f>
        <v>10.166666666666666</v>
      </c>
      <c r="P54" s="274" t="e">
        <f>+N54/O54</f>
        <v>#REF!</v>
      </c>
      <c r="Q54" s="284" t="e">
        <f>+I54+E54+C54+M54</f>
        <v>#REF!</v>
      </c>
      <c r="R54" s="280">
        <v>13</v>
      </c>
      <c r="S54" s="285" t="e">
        <f t="shared" si="15"/>
        <v>#REF!</v>
      </c>
    </row>
    <row r="55" spans="1:19" hidden="1" outlineLevel="1" x14ac:dyDescent="0.35">
      <c r="A55" s="80">
        <f>+A54+1</f>
        <v>2</v>
      </c>
      <c r="B55" s="98">
        <v>44682</v>
      </c>
      <c r="C55" s="269" t="e">
        <f>COUNTIF('BASE AA'!#REF!,"=1")</f>
        <v>#REF!</v>
      </c>
      <c r="D55" s="270" t="e">
        <f t="shared" ref="D55:D65" si="16">+C55/$O$37</f>
        <v>#REF!</v>
      </c>
      <c r="E55" s="269" t="e">
        <f>COUNTIF('BASE AA'!#REF!,"=2")</f>
        <v>#REF!</v>
      </c>
      <c r="F55" s="276" t="e">
        <f>+F54+E55</f>
        <v>#REF!</v>
      </c>
      <c r="G55" s="276">
        <f>2*$P$37</f>
        <v>7.333333333333333</v>
      </c>
      <c r="H55" s="270" t="e">
        <f>F55/G55</f>
        <v>#REF!</v>
      </c>
      <c r="I55" s="278" t="e">
        <f>COUNTIF('BASE AA'!#REF!,"=3")</f>
        <v>#REF!</v>
      </c>
      <c r="J55" s="276" t="e">
        <f>+J54+I55</f>
        <v>#REF!</v>
      </c>
      <c r="K55" s="276">
        <f>2*$Q$37</f>
        <v>20.666666666666668</v>
      </c>
      <c r="L55" s="270" t="e">
        <f t="shared" ref="L55:L60" si="17">J55/K55</f>
        <v>#REF!</v>
      </c>
      <c r="M55" s="281" t="e">
        <f>COUNTIF('BASE AA'!#REF!,"=4")</f>
        <v>#REF!</v>
      </c>
      <c r="N55" s="282" t="e">
        <f t="shared" ref="N55:N65" si="18">+M55+N54</f>
        <v>#REF!</v>
      </c>
      <c r="O55" s="276">
        <f>+A55*$R$37</f>
        <v>20.333333333333332</v>
      </c>
      <c r="P55" s="270" t="e">
        <f t="shared" ref="P55:P65" si="19">+N55/O55</f>
        <v>#REF!</v>
      </c>
      <c r="Q55" s="286" t="e">
        <f t="shared" ref="Q55:Q65" si="20">+I55+E55+C55+M55</f>
        <v>#REF!</v>
      </c>
      <c r="R55" s="287">
        <v>13</v>
      </c>
      <c r="S55" s="288" t="e">
        <f t="shared" ref="S55:S65" si="21">+R55+Q55</f>
        <v>#REF!</v>
      </c>
    </row>
    <row r="56" spans="1:19" hidden="1" outlineLevel="1" x14ac:dyDescent="0.35">
      <c r="A56" s="80">
        <f t="shared" ref="A56:A65" si="22">+A55+1</f>
        <v>3</v>
      </c>
      <c r="B56" s="98">
        <v>44713</v>
      </c>
      <c r="C56" s="269" t="e">
        <f>COUNTIF('BASE AA'!#REF!,"=1")</f>
        <v>#REF!</v>
      </c>
      <c r="D56" s="270" t="e">
        <f t="shared" si="16"/>
        <v>#REF!</v>
      </c>
      <c r="E56" s="269" t="e">
        <f>COUNTIF('BASE AA'!#REF!,"=2")</f>
        <v>#REF!</v>
      </c>
      <c r="F56" s="276" t="e">
        <f>+F55+E56</f>
        <v>#REF!</v>
      </c>
      <c r="G56" s="276">
        <f>3*$P$37</f>
        <v>11</v>
      </c>
      <c r="H56" s="270" t="e">
        <f t="shared" ref="H56:H62" si="23">F56/G56</f>
        <v>#REF!</v>
      </c>
      <c r="I56" s="278" t="e">
        <f>COUNTIF('BASE AA'!#REF!,"=3")</f>
        <v>#REF!</v>
      </c>
      <c r="J56" s="276" t="e">
        <f>+J55+I56</f>
        <v>#REF!</v>
      </c>
      <c r="K56" s="276">
        <f>3*$Q$37</f>
        <v>31</v>
      </c>
      <c r="L56" s="270" t="e">
        <f t="shared" si="17"/>
        <v>#REF!</v>
      </c>
      <c r="M56" s="281" t="e">
        <f>COUNTIF('BASE AA'!#REF!,"=4")</f>
        <v>#REF!</v>
      </c>
      <c r="N56" s="282" t="e">
        <f t="shared" si="18"/>
        <v>#REF!</v>
      </c>
      <c r="O56" s="276">
        <f t="shared" ref="O56:O65" si="24">+A56*$R$37</f>
        <v>30.5</v>
      </c>
      <c r="P56" s="270" t="e">
        <f t="shared" si="19"/>
        <v>#REF!</v>
      </c>
      <c r="Q56" s="286" t="e">
        <f t="shared" si="20"/>
        <v>#REF!</v>
      </c>
      <c r="R56" s="287">
        <v>9</v>
      </c>
      <c r="S56" s="288" t="e">
        <f t="shared" si="21"/>
        <v>#REF!</v>
      </c>
    </row>
    <row r="57" spans="1:19" hidden="1" outlineLevel="1" x14ac:dyDescent="0.35">
      <c r="A57" s="80">
        <f t="shared" si="22"/>
        <v>4</v>
      </c>
      <c r="B57" s="98">
        <v>44743</v>
      </c>
      <c r="C57" s="269" t="e">
        <f>COUNTIF('BASE AA'!#REF!,"=1")</f>
        <v>#REF!</v>
      </c>
      <c r="D57" s="270" t="e">
        <f t="shared" si="16"/>
        <v>#REF!</v>
      </c>
      <c r="E57" s="269" t="e">
        <f>COUNTIF('BASE AA'!#REF!,"=2")</f>
        <v>#REF!</v>
      </c>
      <c r="F57" s="276" t="e">
        <f>+E57</f>
        <v>#REF!</v>
      </c>
      <c r="G57" s="276">
        <f>+$P$37</f>
        <v>3.6666666666666665</v>
      </c>
      <c r="H57" s="270" t="e">
        <f t="shared" si="23"/>
        <v>#REF!</v>
      </c>
      <c r="I57" s="278" t="e">
        <f>COUNTIF('BASE AA'!#REF!,"=3")</f>
        <v>#REF!</v>
      </c>
      <c r="J57" s="276" t="e">
        <f>+J56+I57</f>
        <v>#REF!</v>
      </c>
      <c r="K57" s="276">
        <f>4*$Q$37</f>
        <v>41.333333333333336</v>
      </c>
      <c r="L57" s="270" t="e">
        <f t="shared" si="17"/>
        <v>#REF!</v>
      </c>
      <c r="M57" s="281" t="e">
        <f>COUNTIF('BASE AA'!#REF!,"=4")</f>
        <v>#REF!</v>
      </c>
      <c r="N57" s="282" t="e">
        <f t="shared" si="18"/>
        <v>#REF!</v>
      </c>
      <c r="O57" s="276">
        <f t="shared" si="24"/>
        <v>40.666666666666664</v>
      </c>
      <c r="P57" s="270" t="e">
        <f t="shared" si="19"/>
        <v>#REF!</v>
      </c>
      <c r="Q57" s="286" t="e">
        <f t="shared" si="20"/>
        <v>#REF!</v>
      </c>
      <c r="R57" s="287">
        <v>10</v>
      </c>
      <c r="S57" s="288" t="e">
        <f t="shared" si="21"/>
        <v>#REF!</v>
      </c>
    </row>
    <row r="58" spans="1:19" hidden="1" outlineLevel="1" x14ac:dyDescent="0.35">
      <c r="A58" s="80">
        <f t="shared" si="22"/>
        <v>5</v>
      </c>
      <c r="B58" s="98">
        <v>44774</v>
      </c>
      <c r="C58" s="269" t="e">
        <f>COUNTIF('BASE AA'!#REF!,"=1")</f>
        <v>#REF!</v>
      </c>
      <c r="D58" s="270" t="e">
        <f t="shared" si="16"/>
        <v>#REF!</v>
      </c>
      <c r="E58" s="269" t="e">
        <f>COUNTIF('BASE AA'!#REF!,"=2")</f>
        <v>#REF!</v>
      </c>
      <c r="F58" s="276" t="e">
        <f>+F57+E58</f>
        <v>#REF!</v>
      </c>
      <c r="G58" s="276">
        <f>2*$P$37</f>
        <v>7.333333333333333</v>
      </c>
      <c r="H58" s="270" t="e">
        <f t="shared" si="23"/>
        <v>#REF!</v>
      </c>
      <c r="I58" s="278" t="e">
        <f>COUNTIF('BASE AA'!#REF!,"=3")</f>
        <v>#REF!</v>
      </c>
      <c r="J58" s="276" t="e">
        <f>+J57+I58</f>
        <v>#REF!</v>
      </c>
      <c r="K58" s="276">
        <f>5*$Q$37</f>
        <v>51.666666666666671</v>
      </c>
      <c r="L58" s="270" t="e">
        <f t="shared" si="17"/>
        <v>#REF!</v>
      </c>
      <c r="M58" s="281" t="e">
        <f>COUNTIF('BASE AA'!#REF!,"=4")</f>
        <v>#REF!</v>
      </c>
      <c r="N58" s="282" t="e">
        <f t="shared" si="18"/>
        <v>#REF!</v>
      </c>
      <c r="O58" s="276">
        <f t="shared" si="24"/>
        <v>50.833333333333329</v>
      </c>
      <c r="P58" s="270" t="e">
        <f t="shared" si="19"/>
        <v>#REF!</v>
      </c>
      <c r="Q58" s="286" t="e">
        <f t="shared" si="20"/>
        <v>#REF!</v>
      </c>
      <c r="R58" s="287">
        <v>9</v>
      </c>
      <c r="S58" s="288" t="e">
        <f t="shared" si="21"/>
        <v>#REF!</v>
      </c>
    </row>
    <row r="59" spans="1:19" hidden="1" outlineLevel="1" x14ac:dyDescent="0.35">
      <c r="A59" s="80">
        <f t="shared" si="22"/>
        <v>6</v>
      </c>
      <c r="B59" s="98">
        <v>44805</v>
      </c>
      <c r="C59" s="269" t="e">
        <f>COUNTIF('BASE AA'!#REF!,"=1")</f>
        <v>#REF!</v>
      </c>
      <c r="D59" s="270" t="e">
        <f t="shared" si="16"/>
        <v>#REF!</v>
      </c>
      <c r="E59" s="269" t="e">
        <f>COUNTIF('BASE AA'!#REF!,"=2")</f>
        <v>#REF!</v>
      </c>
      <c r="F59" s="276" t="e">
        <f>+F58+E59</f>
        <v>#REF!</v>
      </c>
      <c r="G59" s="276">
        <f>3*$P$37</f>
        <v>11</v>
      </c>
      <c r="H59" s="270" t="e">
        <f t="shared" si="23"/>
        <v>#REF!</v>
      </c>
      <c r="I59" s="278" t="e">
        <f>COUNTIF('BASE AA'!#REF!,"=3")</f>
        <v>#REF!</v>
      </c>
      <c r="J59" s="276" t="e">
        <f>+J58+I59</f>
        <v>#REF!</v>
      </c>
      <c r="K59" s="276">
        <f>6*$Q$37</f>
        <v>62</v>
      </c>
      <c r="L59" s="270" t="e">
        <f t="shared" si="17"/>
        <v>#REF!</v>
      </c>
      <c r="M59" s="281" t="e">
        <f>COUNTIF('BASE AA'!#REF!,"=4")</f>
        <v>#REF!</v>
      </c>
      <c r="N59" s="282" t="e">
        <f t="shared" si="18"/>
        <v>#REF!</v>
      </c>
      <c r="O59" s="276">
        <f t="shared" si="24"/>
        <v>61</v>
      </c>
      <c r="P59" s="270" t="e">
        <f t="shared" si="19"/>
        <v>#REF!</v>
      </c>
      <c r="Q59" s="286" t="e">
        <f t="shared" si="20"/>
        <v>#REF!</v>
      </c>
      <c r="R59" s="287">
        <v>5</v>
      </c>
      <c r="S59" s="288" t="e">
        <f t="shared" si="21"/>
        <v>#REF!</v>
      </c>
    </row>
    <row r="60" spans="1:19" hidden="1" outlineLevel="1" x14ac:dyDescent="0.35">
      <c r="A60" s="80">
        <f t="shared" si="22"/>
        <v>7</v>
      </c>
      <c r="B60" s="98">
        <v>44835</v>
      </c>
      <c r="C60" s="269" t="e">
        <f>COUNTIF('BASE AA'!#REF!,"=1")</f>
        <v>#REF!</v>
      </c>
      <c r="D60" s="270" t="e">
        <f t="shared" si="16"/>
        <v>#REF!</v>
      </c>
      <c r="E60" s="269" t="e">
        <f>COUNTIF('BASE AA'!#REF!,"=2")</f>
        <v>#REF!</v>
      </c>
      <c r="F60" s="276" t="e">
        <f>+E60</f>
        <v>#REF!</v>
      </c>
      <c r="G60" s="276">
        <f>+$P$37</f>
        <v>3.6666666666666665</v>
      </c>
      <c r="H60" s="270" t="e">
        <f t="shared" si="23"/>
        <v>#REF!</v>
      </c>
      <c r="I60" s="278" t="e">
        <f>COUNTIF('BASE AA'!#REF!,"=3")</f>
        <v>#REF!</v>
      </c>
      <c r="J60" s="276" t="e">
        <f>+I60</f>
        <v>#REF!</v>
      </c>
      <c r="K60" s="276">
        <f>+$Q$37</f>
        <v>10.333333333333334</v>
      </c>
      <c r="L60" s="270" t="e">
        <f t="shared" si="17"/>
        <v>#REF!</v>
      </c>
      <c r="M60" s="281" t="e">
        <f>COUNTIF('BASE AA'!#REF!,"=4")</f>
        <v>#REF!</v>
      </c>
      <c r="N60" s="282" t="e">
        <f t="shared" si="18"/>
        <v>#REF!</v>
      </c>
      <c r="O60" s="276">
        <f t="shared" si="24"/>
        <v>71.166666666666657</v>
      </c>
      <c r="P60" s="270" t="e">
        <f t="shared" si="19"/>
        <v>#REF!</v>
      </c>
      <c r="Q60" s="286" t="e">
        <f t="shared" si="20"/>
        <v>#REF!</v>
      </c>
      <c r="R60" s="287">
        <v>8</v>
      </c>
      <c r="S60" s="288" t="e">
        <f t="shared" si="21"/>
        <v>#REF!</v>
      </c>
    </row>
    <row r="61" spans="1:19" hidden="1" outlineLevel="1" x14ac:dyDescent="0.35">
      <c r="A61" s="80">
        <f t="shared" si="22"/>
        <v>8</v>
      </c>
      <c r="B61" s="98">
        <v>44866</v>
      </c>
      <c r="C61" s="269" t="e">
        <f>COUNTIF('BASE AA'!#REF!,"=1")</f>
        <v>#REF!</v>
      </c>
      <c r="D61" s="270" t="e">
        <f t="shared" si="16"/>
        <v>#REF!</v>
      </c>
      <c r="E61" s="269" t="e">
        <f>COUNTIF('BASE AA'!#REF!,"=2")</f>
        <v>#REF!</v>
      </c>
      <c r="F61" s="276" t="e">
        <f>+F60+E61</f>
        <v>#REF!</v>
      </c>
      <c r="G61" s="276">
        <f>2*$P$37</f>
        <v>7.333333333333333</v>
      </c>
      <c r="H61" s="270" t="e">
        <f t="shared" si="23"/>
        <v>#REF!</v>
      </c>
      <c r="I61" s="278" t="e">
        <f>COUNTIF('BASE AA'!#REF!,"=3")</f>
        <v>#REF!</v>
      </c>
      <c r="J61" s="276" t="e">
        <f>+J60+I61</f>
        <v>#REF!</v>
      </c>
      <c r="K61" s="276">
        <f>2*$Q$37</f>
        <v>20.666666666666668</v>
      </c>
      <c r="L61" s="270" t="e">
        <f t="shared" ref="L61:L65" si="25">J61/K61</f>
        <v>#REF!</v>
      </c>
      <c r="M61" s="281" t="e">
        <f>COUNTIF('BASE AA'!#REF!,"=4")</f>
        <v>#REF!</v>
      </c>
      <c r="N61" s="282" t="e">
        <f t="shared" si="18"/>
        <v>#REF!</v>
      </c>
      <c r="O61" s="276">
        <f t="shared" si="24"/>
        <v>81.333333333333329</v>
      </c>
      <c r="P61" s="270" t="e">
        <f t="shared" si="19"/>
        <v>#REF!</v>
      </c>
      <c r="Q61" s="286" t="e">
        <f t="shared" si="20"/>
        <v>#REF!</v>
      </c>
      <c r="R61" s="287">
        <v>7</v>
      </c>
      <c r="S61" s="289" t="e">
        <f t="shared" si="21"/>
        <v>#REF!</v>
      </c>
    </row>
    <row r="62" spans="1:19" hidden="1" outlineLevel="1" x14ac:dyDescent="0.35">
      <c r="A62" s="80">
        <f t="shared" si="22"/>
        <v>9</v>
      </c>
      <c r="B62" s="98">
        <v>44896</v>
      </c>
      <c r="C62" s="269" t="e">
        <f>COUNTIF('BASE AA'!#REF!,"=1")</f>
        <v>#REF!</v>
      </c>
      <c r="D62" s="270" t="e">
        <f t="shared" si="16"/>
        <v>#REF!</v>
      </c>
      <c r="E62" s="269" t="e">
        <f>COUNTIF('BASE AA'!#REF!,"=2")</f>
        <v>#REF!</v>
      </c>
      <c r="F62" s="276" t="e">
        <f>+F61+E62</f>
        <v>#REF!</v>
      </c>
      <c r="G62" s="276">
        <f>3*$P$37</f>
        <v>11</v>
      </c>
      <c r="H62" s="270" t="e">
        <f t="shared" si="23"/>
        <v>#REF!</v>
      </c>
      <c r="I62" s="278" t="e">
        <f>COUNTIF('BASE AA'!#REF!,"=3")</f>
        <v>#REF!</v>
      </c>
      <c r="J62" s="276" t="e">
        <f>+J61+I62</f>
        <v>#REF!</v>
      </c>
      <c r="K62" s="276">
        <f>3*$Q$37</f>
        <v>31</v>
      </c>
      <c r="L62" s="270" t="e">
        <f t="shared" si="25"/>
        <v>#REF!</v>
      </c>
      <c r="M62" s="281" t="e">
        <f>COUNTIF('BASE AA'!#REF!,"=4")</f>
        <v>#REF!</v>
      </c>
      <c r="N62" s="282" t="e">
        <f t="shared" si="18"/>
        <v>#REF!</v>
      </c>
      <c r="O62" s="276">
        <f t="shared" si="24"/>
        <v>91.5</v>
      </c>
      <c r="P62" s="270" t="e">
        <f t="shared" si="19"/>
        <v>#REF!</v>
      </c>
      <c r="Q62" s="286" t="e">
        <f t="shared" si="20"/>
        <v>#REF!</v>
      </c>
      <c r="R62" s="287">
        <v>14</v>
      </c>
      <c r="S62" s="289" t="e">
        <f t="shared" si="21"/>
        <v>#REF!</v>
      </c>
    </row>
    <row r="63" spans="1:19" hidden="1" outlineLevel="1" x14ac:dyDescent="0.35">
      <c r="A63" s="80">
        <f t="shared" si="22"/>
        <v>10</v>
      </c>
      <c r="B63" s="98">
        <v>44927</v>
      </c>
      <c r="C63" s="269" t="e">
        <f>COUNTIF('BASE AA'!#REF!,"=1")</f>
        <v>#REF!</v>
      </c>
      <c r="D63" s="270" t="e">
        <f t="shared" si="16"/>
        <v>#REF!</v>
      </c>
      <c r="E63" s="269" t="e">
        <f>COUNTIF('BASE AA'!#REF!,"=2")</f>
        <v>#REF!</v>
      </c>
      <c r="F63" s="276" t="e">
        <f>+E63</f>
        <v>#REF!</v>
      </c>
      <c r="G63" s="276">
        <f>+$P$37</f>
        <v>3.6666666666666665</v>
      </c>
      <c r="H63" s="270" t="e">
        <f t="shared" ref="H63:H66" si="26">F63/G63</f>
        <v>#REF!</v>
      </c>
      <c r="I63" s="278" t="e">
        <f>COUNTIF('BASE AA'!#REF!,"=3")</f>
        <v>#REF!</v>
      </c>
      <c r="J63" s="276" t="e">
        <f>+J62+I63</f>
        <v>#REF!</v>
      </c>
      <c r="K63" s="276">
        <f>4*$Q$37</f>
        <v>41.333333333333336</v>
      </c>
      <c r="L63" s="270" t="e">
        <f t="shared" si="25"/>
        <v>#REF!</v>
      </c>
      <c r="M63" s="281" t="e">
        <f>COUNTIF('BASE AA'!#REF!,"=4")</f>
        <v>#REF!</v>
      </c>
      <c r="N63" s="282" t="e">
        <f t="shared" si="18"/>
        <v>#REF!</v>
      </c>
      <c r="O63" s="276">
        <f t="shared" si="24"/>
        <v>101.66666666666666</v>
      </c>
      <c r="P63" s="270" t="e">
        <f t="shared" si="19"/>
        <v>#REF!</v>
      </c>
      <c r="Q63" s="286" t="e">
        <f t="shared" si="20"/>
        <v>#REF!</v>
      </c>
      <c r="R63" s="287">
        <v>16</v>
      </c>
      <c r="S63" s="289" t="e">
        <f t="shared" si="21"/>
        <v>#REF!</v>
      </c>
    </row>
    <row r="64" spans="1:19" hidden="1" outlineLevel="1" x14ac:dyDescent="0.35">
      <c r="A64" s="80">
        <f t="shared" si="22"/>
        <v>11</v>
      </c>
      <c r="B64" s="98">
        <v>44958</v>
      </c>
      <c r="C64" s="269" t="e">
        <f>COUNTIF('BASE AA'!#REF!,"=1")</f>
        <v>#REF!</v>
      </c>
      <c r="D64" s="270" t="e">
        <f t="shared" si="16"/>
        <v>#REF!</v>
      </c>
      <c r="E64" s="269" t="e">
        <f>COUNTIF('BASE AA'!#REF!,"=2")</f>
        <v>#REF!</v>
      </c>
      <c r="F64" s="276" t="e">
        <f>+F63+E64</f>
        <v>#REF!</v>
      </c>
      <c r="G64" s="276">
        <f>2*$P$37</f>
        <v>7.333333333333333</v>
      </c>
      <c r="H64" s="270" t="e">
        <f t="shared" si="26"/>
        <v>#REF!</v>
      </c>
      <c r="I64" s="278" t="e">
        <f>COUNTIF('BASE AA'!#REF!,"=3")</f>
        <v>#REF!</v>
      </c>
      <c r="J64" s="276" t="e">
        <f>+J63+I64</f>
        <v>#REF!</v>
      </c>
      <c r="K64" s="276">
        <f>5*$Q$37</f>
        <v>51.666666666666671</v>
      </c>
      <c r="L64" s="270" t="e">
        <f t="shared" si="25"/>
        <v>#REF!</v>
      </c>
      <c r="M64" s="281" t="e">
        <f>COUNTIF('BASE AA'!#REF!,"=4")</f>
        <v>#REF!</v>
      </c>
      <c r="N64" s="282" t="e">
        <f t="shared" si="18"/>
        <v>#REF!</v>
      </c>
      <c r="O64" s="276">
        <f t="shared" si="24"/>
        <v>111.83333333333333</v>
      </c>
      <c r="P64" s="270" t="e">
        <f t="shared" si="19"/>
        <v>#REF!</v>
      </c>
      <c r="Q64" s="286" t="e">
        <f t="shared" si="20"/>
        <v>#REF!</v>
      </c>
      <c r="R64" s="287">
        <v>11</v>
      </c>
      <c r="S64" s="289" t="e">
        <f t="shared" si="21"/>
        <v>#REF!</v>
      </c>
    </row>
    <row r="65" spans="1:19" ht="15" hidden="1" outlineLevel="1" thickBot="1" x14ac:dyDescent="0.4">
      <c r="A65" s="342">
        <f t="shared" si="22"/>
        <v>12</v>
      </c>
      <c r="B65" s="343">
        <v>44986</v>
      </c>
      <c r="C65" s="332" t="e">
        <f>COUNTIF('BASE AA'!#REF!,"=1")</f>
        <v>#REF!</v>
      </c>
      <c r="D65" s="333" t="e">
        <f t="shared" si="16"/>
        <v>#REF!</v>
      </c>
      <c r="E65" s="332" t="e">
        <f>COUNTIF('BASE AA'!#REF!,"=2")</f>
        <v>#REF!</v>
      </c>
      <c r="F65" s="334" t="e">
        <f>+F64+E65</f>
        <v>#REF!</v>
      </c>
      <c r="G65" s="335">
        <f>3*$P$37</f>
        <v>11</v>
      </c>
      <c r="H65" s="333" t="e">
        <f t="shared" si="26"/>
        <v>#REF!</v>
      </c>
      <c r="I65" s="336" t="e">
        <f>COUNTIF('BASE AA'!#REF!,"=3")</f>
        <v>#REF!</v>
      </c>
      <c r="J65" s="335" t="e">
        <f>+J64+I65</f>
        <v>#REF!</v>
      </c>
      <c r="K65" s="335">
        <f>6*$Q$37</f>
        <v>62</v>
      </c>
      <c r="L65" s="333" t="e">
        <f t="shared" si="25"/>
        <v>#REF!</v>
      </c>
      <c r="M65" s="337" t="e">
        <f>COUNTIF('BASE AA'!#REF!,"=4")</f>
        <v>#REF!</v>
      </c>
      <c r="N65" s="338" t="e">
        <f t="shared" si="18"/>
        <v>#REF!</v>
      </c>
      <c r="O65" s="335">
        <f t="shared" si="24"/>
        <v>122</v>
      </c>
      <c r="P65" s="333" t="e">
        <f t="shared" si="19"/>
        <v>#REF!</v>
      </c>
      <c r="Q65" s="344" t="e">
        <f t="shared" si="20"/>
        <v>#REF!</v>
      </c>
      <c r="R65" s="341">
        <f>COUNTIF(CORRECTIVOS!B:F,CORRECTIVOS!A$5)</f>
        <v>0</v>
      </c>
      <c r="S65" s="345" t="e">
        <f t="shared" si="21"/>
        <v>#REF!</v>
      </c>
    </row>
    <row r="66" spans="1:19" ht="15" collapsed="1" thickBot="1" x14ac:dyDescent="0.4">
      <c r="A66" s="403">
        <v>1</v>
      </c>
      <c r="B66" s="402">
        <v>45962</v>
      </c>
      <c r="C66" s="401">
        <f>COUNTIF('BASE AA'!U2:U317,"=1")</f>
        <v>36</v>
      </c>
      <c r="D66" s="274">
        <f t="shared" ref="D66:D71" si="27">+C66/36</f>
        <v>1</v>
      </c>
      <c r="E66" s="268">
        <f>COUNTIF('BASE AA'!U2:U317,"=2")</f>
        <v>0</v>
      </c>
      <c r="F66" s="275">
        <f>+E66+F77</f>
        <v>3</v>
      </c>
      <c r="G66" s="275">
        <f>2*P$37</f>
        <v>7.333333333333333</v>
      </c>
      <c r="H66" s="274">
        <f t="shared" si="26"/>
        <v>0.40909090909090912</v>
      </c>
      <c r="I66" s="460">
        <f>COUNTIF('BASE AA'!U2:U317,"=3")</f>
        <v>5</v>
      </c>
      <c r="J66" s="275">
        <f>+I66+J77</f>
        <v>11</v>
      </c>
      <c r="K66" s="275">
        <f>+Q$37*A66</f>
        <v>10.333333333333334</v>
      </c>
      <c r="L66" s="274">
        <f t="shared" ref="L66:L71" si="28">J66/K66</f>
        <v>1.064516129032258</v>
      </c>
      <c r="M66" s="268">
        <f>COUNTIF('BASE AA'!U2:IU317,"=4")</f>
        <v>13</v>
      </c>
      <c r="N66" s="280">
        <f>+M66+N77</f>
        <v>80</v>
      </c>
      <c r="O66" s="275">
        <f>+$R$37*8</f>
        <v>81.333333333333329</v>
      </c>
      <c r="P66" s="274">
        <f t="shared" ref="P66:P67" si="29">+N66/O66</f>
        <v>0.98360655737704927</v>
      </c>
      <c r="Q66" s="284">
        <f>+I66+E66+C66+M66</f>
        <v>54</v>
      </c>
      <c r="R66" s="280"/>
      <c r="S66" s="346">
        <f>+R66+Q66</f>
        <v>54</v>
      </c>
    </row>
    <row r="67" spans="1:19" ht="15" thickBot="1" x14ac:dyDescent="0.4">
      <c r="A67" s="404">
        <f>+A66+1</f>
        <v>2</v>
      </c>
      <c r="B67" s="402">
        <v>45992</v>
      </c>
      <c r="C67" s="401">
        <f>COUNTIF('BASE AA'!V3:V318,"=1")</f>
        <v>36</v>
      </c>
      <c r="D67" s="274">
        <f>+C67/36</f>
        <v>1</v>
      </c>
      <c r="E67" s="268">
        <f>COUNTIF('BASE AA'!V3:V318,"=2")</f>
        <v>4</v>
      </c>
      <c r="F67" s="275">
        <f>+E67+F66</f>
        <v>7</v>
      </c>
      <c r="G67" s="275">
        <f>3*P$37</f>
        <v>11</v>
      </c>
      <c r="H67" s="274">
        <f t="shared" ref="H67" si="30">F67/G67</f>
        <v>0.63636363636363635</v>
      </c>
      <c r="I67" s="460">
        <f>COUNTIF('BASE AA'!V3:V318,"=3")</f>
        <v>3</v>
      </c>
      <c r="J67" s="275">
        <f>+I67+J66</f>
        <v>14</v>
      </c>
      <c r="K67" s="275">
        <f>+Q$37*A67</f>
        <v>20.666666666666668</v>
      </c>
      <c r="L67" s="274">
        <f t="shared" si="28"/>
        <v>0.67741935483870963</v>
      </c>
      <c r="M67" s="268">
        <f>COUNTIF('BASE AA'!V3:IV318,"=4")</f>
        <v>4</v>
      </c>
      <c r="N67" s="280">
        <f>+M67+N66</f>
        <v>84</v>
      </c>
      <c r="O67" s="275">
        <f>+$R$37*9</f>
        <v>91.5</v>
      </c>
      <c r="P67" s="274">
        <f t="shared" si="29"/>
        <v>0.91803278688524592</v>
      </c>
      <c r="Q67" s="284">
        <f>+I67+E67+C67+M67</f>
        <v>47</v>
      </c>
      <c r="R67" s="280">
        <v>14</v>
      </c>
      <c r="S67" s="346">
        <f>+Q67+R67</f>
        <v>61</v>
      </c>
    </row>
    <row r="68" spans="1:19" ht="15" thickBot="1" x14ac:dyDescent="0.4">
      <c r="A68" s="404">
        <f t="shared" ref="A68:A76" si="31">+A67+1</f>
        <v>3</v>
      </c>
      <c r="B68" s="402">
        <v>46023</v>
      </c>
      <c r="C68" s="401">
        <f>COUNTIF('BASE AA'!W4:W319,"=1")</f>
        <v>21</v>
      </c>
      <c r="D68" s="274">
        <f>+C68/36</f>
        <v>0.58333333333333337</v>
      </c>
      <c r="E68" s="460">
        <f>COUNTIF('BASE AA'!W4:W319,"=2")</f>
        <v>0</v>
      </c>
      <c r="F68" s="275">
        <f>+E68</f>
        <v>0</v>
      </c>
      <c r="G68" s="275">
        <f>1*P$37</f>
        <v>3.6666666666666665</v>
      </c>
      <c r="H68" s="274">
        <f>F68/G68</f>
        <v>0</v>
      </c>
      <c r="I68" s="460">
        <f>COUNTIF('BASE AA'!W4:W319,"=3")</f>
        <v>0</v>
      </c>
      <c r="J68" s="275">
        <f>+I68+J67</f>
        <v>14</v>
      </c>
      <c r="K68" s="275">
        <f>+Q$37*A68</f>
        <v>31</v>
      </c>
      <c r="L68" s="274">
        <f>+J68/K68</f>
        <v>0.45161290322580644</v>
      </c>
      <c r="M68" s="268">
        <f>COUNTIF('BASE AA'!W4:X319,"=4")</f>
        <v>3</v>
      </c>
      <c r="N68" s="280">
        <f>+M68+N67</f>
        <v>87</v>
      </c>
      <c r="O68" s="275">
        <f>+$R$37*10</f>
        <v>101.66666666666666</v>
      </c>
      <c r="P68" s="274">
        <f>+N68/O68</f>
        <v>0.85573770491803292</v>
      </c>
      <c r="Q68" s="284">
        <f>+I68+E68+C68+M68</f>
        <v>24</v>
      </c>
      <c r="R68" s="280">
        <v>15</v>
      </c>
      <c r="S68" s="346">
        <f>+Q68+R68</f>
        <v>39</v>
      </c>
    </row>
    <row r="69" spans="1:19" ht="15" thickBot="1" x14ac:dyDescent="0.4">
      <c r="A69" s="404">
        <f t="shared" si="31"/>
        <v>4</v>
      </c>
      <c r="B69" s="402">
        <v>46054</v>
      </c>
      <c r="C69" s="401">
        <f>COUNTIF('BASE AA'!X5:X320,"=1")</f>
        <v>11</v>
      </c>
      <c r="D69" s="274">
        <f>+C69/36</f>
        <v>0.30555555555555558</v>
      </c>
      <c r="E69" s="460">
        <f>COUNTIF('BASE AA'!X5:X320,"=2")</f>
        <v>0</v>
      </c>
      <c r="F69" s="275">
        <f>+E69+F68</f>
        <v>0</v>
      </c>
      <c r="G69" s="275">
        <f>2*P$37</f>
        <v>7.333333333333333</v>
      </c>
      <c r="H69" s="274">
        <f>F69/G69</f>
        <v>0</v>
      </c>
      <c r="I69" s="460">
        <f>COUNTIF('BASE AA'!X5:X320,"=3")</f>
        <v>0</v>
      </c>
      <c r="J69" s="275">
        <f>+I69+J68</f>
        <v>14</v>
      </c>
      <c r="K69" s="275">
        <f>+Q$37*A69</f>
        <v>41.333333333333336</v>
      </c>
      <c r="L69" s="274">
        <f>+J69/K69</f>
        <v>0.33870967741935482</v>
      </c>
      <c r="M69" s="268">
        <f>COUNTIF('BASE AA'!X5:X320,"=4")</f>
        <v>3</v>
      </c>
      <c r="N69" s="280">
        <f>+M69+N68</f>
        <v>90</v>
      </c>
      <c r="O69" s="275">
        <f>+$R$37*11</f>
        <v>111.83333333333333</v>
      </c>
      <c r="P69" s="274">
        <f>+N69/O69</f>
        <v>0.80476900149031305</v>
      </c>
      <c r="Q69" s="284">
        <f>+I69+E69+C69+M69</f>
        <v>14</v>
      </c>
      <c r="R69" s="280">
        <v>16</v>
      </c>
      <c r="S69" s="346">
        <f>+Q69+R69</f>
        <v>30</v>
      </c>
    </row>
    <row r="70" spans="1:19" ht="15" thickBot="1" x14ac:dyDescent="0.4">
      <c r="A70" s="404">
        <f t="shared" si="31"/>
        <v>5</v>
      </c>
      <c r="B70" s="402">
        <v>46082</v>
      </c>
      <c r="C70" s="401"/>
      <c r="D70" s="274"/>
      <c r="E70" s="460">
        <f>COUNTIF('BASE AA'!W6:W321,"=2")</f>
        <v>0</v>
      </c>
      <c r="F70" s="275"/>
      <c r="G70" s="275"/>
      <c r="H70" s="274"/>
      <c r="I70" s="460"/>
      <c r="J70" s="275"/>
      <c r="K70" s="275"/>
      <c r="L70" s="274"/>
      <c r="M70" s="268"/>
      <c r="N70" s="280"/>
      <c r="O70" s="275"/>
      <c r="P70" s="274"/>
      <c r="Q70" s="284"/>
      <c r="R70" s="287"/>
      <c r="S70" s="346"/>
    </row>
    <row r="71" spans="1:19" ht="15" thickBot="1" x14ac:dyDescent="0.4">
      <c r="A71" s="404">
        <f t="shared" si="31"/>
        <v>6</v>
      </c>
      <c r="B71" s="402">
        <v>45748</v>
      </c>
      <c r="C71" s="401">
        <f>COUNTIF('BASE AA'!N5:N320,"=1")</f>
        <v>36</v>
      </c>
      <c r="D71" s="274">
        <f t="shared" si="27"/>
        <v>1</v>
      </c>
      <c r="E71" s="268">
        <f>COUNTIF('BASE AA'!N7:N322,"=2")</f>
        <v>4</v>
      </c>
      <c r="F71" s="275">
        <f t="shared" ref="F71:F72" si="32">+F70+E71</f>
        <v>4</v>
      </c>
      <c r="G71" s="275">
        <f t="shared" ref="G71:G73" si="33">+A71*P$37</f>
        <v>22</v>
      </c>
      <c r="H71" s="274">
        <f t="shared" ref="H71:H72" si="34">F71/G71</f>
        <v>0.18181818181818182</v>
      </c>
      <c r="I71" s="268">
        <f>COUNTIF('BASE AA'!N7:N322,"=3")</f>
        <v>5</v>
      </c>
      <c r="J71" s="275">
        <f>+I71</f>
        <v>5</v>
      </c>
      <c r="K71" s="275">
        <f t="shared" ref="K71" si="35">+Q$37*A71</f>
        <v>62</v>
      </c>
      <c r="L71" s="274">
        <f t="shared" si="28"/>
        <v>8.0645161290322578E-2</v>
      </c>
      <c r="M71" s="460">
        <f>COUNTIF('BASE AA'!N7:N322,"=4")</f>
        <v>1</v>
      </c>
      <c r="N71" s="280">
        <f>+M71</f>
        <v>1</v>
      </c>
      <c r="O71" s="275">
        <f>+$R$37*A71</f>
        <v>61</v>
      </c>
      <c r="P71" s="274">
        <f>+N71/O71</f>
        <v>1.6393442622950821E-2</v>
      </c>
      <c r="Q71" s="284">
        <f t="shared" ref="Q71" si="36">+I71+E71+C71+M71</f>
        <v>46</v>
      </c>
      <c r="R71" s="287"/>
      <c r="S71" s="346">
        <f t="shared" ref="S71" si="37">+R71+Q71</f>
        <v>46</v>
      </c>
    </row>
    <row r="72" spans="1:19" ht="15" thickBot="1" x14ac:dyDescent="0.4">
      <c r="A72" s="404">
        <f t="shared" si="31"/>
        <v>7</v>
      </c>
      <c r="B72" s="402">
        <v>45778</v>
      </c>
      <c r="C72" s="401">
        <f>COUNTIF('BASE AA'!O6:O321,"=1")</f>
        <v>36</v>
      </c>
      <c r="D72" s="274">
        <f t="shared" ref="D72:D73" si="38">+C72/36</f>
        <v>1</v>
      </c>
      <c r="E72" s="268">
        <f>COUNTIF('BASE AA'!O8:O323,"=2")</f>
        <v>4</v>
      </c>
      <c r="F72" s="275">
        <f t="shared" si="32"/>
        <v>8</v>
      </c>
      <c r="G72" s="275">
        <f t="shared" si="33"/>
        <v>25.666666666666664</v>
      </c>
      <c r="H72" s="274">
        <f t="shared" si="34"/>
        <v>0.31168831168831174</v>
      </c>
      <c r="I72" s="268">
        <f>COUNTIF('BASE AA'!O8:O323,"=3")</f>
        <v>15</v>
      </c>
      <c r="J72" s="275">
        <f>+J71+I72</f>
        <v>20</v>
      </c>
      <c r="K72" s="275">
        <f t="shared" ref="K72" si="39">+Q$37*A72</f>
        <v>72.333333333333343</v>
      </c>
      <c r="L72" s="274">
        <f t="shared" ref="L72" si="40">J72/K72</f>
        <v>0.27649769585253453</v>
      </c>
      <c r="M72" s="460">
        <f>COUNTIF('BASE AA'!O3:O323,"=4")</f>
        <v>15</v>
      </c>
      <c r="N72" s="280">
        <f t="shared" ref="N72" si="41">+N71+M72</f>
        <v>16</v>
      </c>
      <c r="O72" s="275">
        <f t="shared" ref="O72" si="42">+$R$37*A72</f>
        <v>71.166666666666657</v>
      </c>
      <c r="P72" s="274">
        <f t="shared" ref="P72" si="43">+N72/O72</f>
        <v>0.22482435597189698</v>
      </c>
      <c r="Q72" s="284">
        <f t="shared" ref="Q72" si="44">+I72+E72+C72+M72</f>
        <v>70</v>
      </c>
      <c r="R72" s="287"/>
      <c r="S72" s="346">
        <f t="shared" ref="S72" si="45">+R72+Q72</f>
        <v>70</v>
      </c>
    </row>
    <row r="73" spans="1:19" ht="15" thickBot="1" x14ac:dyDescent="0.4">
      <c r="A73" s="404">
        <f t="shared" si="31"/>
        <v>8</v>
      </c>
      <c r="B73" s="402">
        <v>45809</v>
      </c>
      <c r="C73" s="401">
        <f>COUNTIF('BASE AA'!P2:P322,"=1")</f>
        <v>36</v>
      </c>
      <c r="D73" s="274">
        <f t="shared" si="38"/>
        <v>1</v>
      </c>
      <c r="E73" s="268">
        <f>COUNTIF('BASE AA'!P2:P320,"=2")</f>
        <v>2</v>
      </c>
      <c r="F73" s="275">
        <f>+F72+E73</f>
        <v>10</v>
      </c>
      <c r="G73" s="275">
        <f t="shared" si="33"/>
        <v>29.333333333333332</v>
      </c>
      <c r="H73" s="274">
        <f t="shared" ref="H73" si="46">F73/G73</f>
        <v>0.34090909090909094</v>
      </c>
      <c r="I73" s="268">
        <f>COUNTIF('BASE AA'!P2:P320,"=3")</f>
        <v>12</v>
      </c>
      <c r="J73" s="275">
        <f>+J72+I73</f>
        <v>32</v>
      </c>
      <c r="K73" s="275">
        <f t="shared" ref="K73" si="47">+Q$37*A73</f>
        <v>82.666666666666671</v>
      </c>
      <c r="L73" s="274">
        <f t="shared" ref="L73" si="48">J73/K73</f>
        <v>0.38709677419354838</v>
      </c>
      <c r="M73" s="460">
        <f>COUNTIF('BASE AA'!P24:P320,"=4")</f>
        <v>10</v>
      </c>
      <c r="N73" s="280">
        <f t="shared" ref="N73" si="49">+N72+M73</f>
        <v>26</v>
      </c>
      <c r="O73" s="275">
        <f t="shared" ref="O73" si="50">+$R$37*A73</f>
        <v>81.333333333333329</v>
      </c>
      <c r="P73" s="274">
        <f t="shared" ref="P73" si="51">+N73/O73</f>
        <v>0.31967213114754101</v>
      </c>
      <c r="Q73" s="284">
        <f t="shared" ref="Q73" si="52">+I73+E73+C73+M73</f>
        <v>60</v>
      </c>
      <c r="R73" s="287"/>
      <c r="S73" s="346">
        <f t="shared" ref="S73" si="53">+R73+Q73</f>
        <v>60</v>
      </c>
    </row>
    <row r="74" spans="1:19" ht="15" thickBot="1" x14ac:dyDescent="0.4">
      <c r="A74" s="404">
        <f t="shared" si="31"/>
        <v>9</v>
      </c>
      <c r="B74" s="402">
        <v>45839</v>
      </c>
      <c r="C74" s="401">
        <f>COUNTIF('BASE AA'!Q3:Q323,"=1")</f>
        <v>36</v>
      </c>
      <c r="D74" s="274">
        <f>+C74/36</f>
        <v>1</v>
      </c>
      <c r="E74" s="268">
        <f>COUNTIF('BASE AA'!Q3:Q321,"=2")</f>
        <v>4</v>
      </c>
      <c r="F74" s="275">
        <f>+E74</f>
        <v>4</v>
      </c>
      <c r="G74" s="275">
        <f>+A74*P$37</f>
        <v>33</v>
      </c>
      <c r="H74" s="274">
        <f>F74/G74</f>
        <v>0.12121212121212122</v>
      </c>
      <c r="I74" s="268">
        <f>COUNTIF('BASE AA'!Q3:Q321,"=3")</f>
        <v>6</v>
      </c>
      <c r="J74" s="275">
        <f>+J73+I74</f>
        <v>38</v>
      </c>
      <c r="K74" s="275">
        <f>+Q$37*A74</f>
        <v>93</v>
      </c>
      <c r="L74" s="274">
        <f t="shared" ref="L74" si="54">J74/K74</f>
        <v>0.40860215053763443</v>
      </c>
      <c r="M74" s="460">
        <f>COUNTIF('BASE AA'!Q25:Q321,"=4")</f>
        <v>7</v>
      </c>
      <c r="N74" s="280">
        <f t="shared" ref="N74" si="55">+N73+M74</f>
        <v>33</v>
      </c>
      <c r="O74" s="275">
        <f t="shared" ref="O74" si="56">+$R$37*A74</f>
        <v>91.5</v>
      </c>
      <c r="P74" s="274">
        <f t="shared" ref="P74" si="57">+N74/O74</f>
        <v>0.36065573770491804</v>
      </c>
      <c r="Q74" s="284">
        <f>+I74+E74+C74+M74</f>
        <v>53</v>
      </c>
      <c r="R74" s="287"/>
      <c r="S74" s="346">
        <f t="shared" ref="S74" si="58">+R74+Q74</f>
        <v>53</v>
      </c>
    </row>
    <row r="75" spans="1:19" ht="15" thickBot="1" x14ac:dyDescent="0.4">
      <c r="A75" s="404">
        <f t="shared" si="31"/>
        <v>10</v>
      </c>
      <c r="B75" s="402">
        <v>45870</v>
      </c>
      <c r="C75" s="401">
        <f>COUNTIF('BASE AA'!R4:R324,"=1")</f>
        <v>36</v>
      </c>
      <c r="D75" s="274">
        <f>+C75/36</f>
        <v>1</v>
      </c>
      <c r="E75" s="268">
        <f>COUNTIF('BASE AA'!R4:R322,"=2")</f>
        <v>4</v>
      </c>
      <c r="F75" s="275">
        <f>+E75+F74</f>
        <v>8</v>
      </c>
      <c r="G75" s="275">
        <f>2*P$37</f>
        <v>7.333333333333333</v>
      </c>
      <c r="H75" s="274">
        <f>F75/G75</f>
        <v>1.0909090909090911</v>
      </c>
      <c r="I75" s="268">
        <f>COUNTIF('BASE AA'!R4:R322,"=3")</f>
        <v>12</v>
      </c>
      <c r="J75" s="275">
        <f>+J74+I75</f>
        <v>50</v>
      </c>
      <c r="K75" s="275">
        <f>+Q$37*5</f>
        <v>51.666666666666671</v>
      </c>
      <c r="L75" s="274">
        <f t="shared" ref="L75" si="59">J75/K75</f>
        <v>0.96774193548387089</v>
      </c>
      <c r="M75" s="460">
        <f>COUNTIF('BASE AA'!R26:R322,"=4")</f>
        <v>13</v>
      </c>
      <c r="N75" s="280">
        <f>+N74+M75</f>
        <v>46</v>
      </c>
      <c r="O75" s="275">
        <f>+$R$37*5</f>
        <v>50.833333333333329</v>
      </c>
      <c r="P75" s="274">
        <f>+N75/O75</f>
        <v>0.90491803278688532</v>
      </c>
      <c r="Q75" s="284">
        <f>+I75+E75+C75+M75</f>
        <v>65</v>
      </c>
      <c r="R75" s="287"/>
      <c r="S75" s="346">
        <f>+R75+Q75</f>
        <v>65</v>
      </c>
    </row>
    <row r="76" spans="1:19" ht="15" thickBot="1" x14ac:dyDescent="0.4">
      <c r="A76" s="404">
        <f t="shared" si="31"/>
        <v>11</v>
      </c>
      <c r="B76" s="402">
        <v>45901</v>
      </c>
      <c r="C76" s="401">
        <f>COUNTIF('BASE AA'!S2:S325,"=1")</f>
        <v>36</v>
      </c>
      <c r="D76" s="274">
        <f>+C76/36</f>
        <v>1</v>
      </c>
      <c r="E76" s="268">
        <f>COUNTIF('BASE AA'!S2:S323,"=2")</f>
        <v>3</v>
      </c>
      <c r="F76" s="275">
        <f>+E76+F75</f>
        <v>11</v>
      </c>
      <c r="G76" s="275">
        <f>2*P$37</f>
        <v>7.333333333333333</v>
      </c>
      <c r="H76" s="274">
        <f>F76/G76</f>
        <v>1.5</v>
      </c>
      <c r="I76" s="268">
        <f>COUNTIF('BASE AA'!S2:S323,"=3")</f>
        <v>3</v>
      </c>
      <c r="J76" s="275">
        <f>+J75+I76</f>
        <v>53</v>
      </c>
      <c r="K76" s="275">
        <f>+Q$37*5</f>
        <v>51.666666666666671</v>
      </c>
      <c r="L76" s="274">
        <f t="shared" ref="L76" si="60">J76/K76</f>
        <v>1.0258064516129031</v>
      </c>
      <c r="M76" s="460">
        <f>COUNTIF('BASE AA'!S2:S323,"=4")</f>
        <v>13</v>
      </c>
      <c r="N76" s="280">
        <f>+N75+M76</f>
        <v>59</v>
      </c>
      <c r="O76" s="275">
        <f>+$R$37*6</f>
        <v>61</v>
      </c>
      <c r="P76" s="274">
        <f>+N76/O76</f>
        <v>0.96721311475409832</v>
      </c>
      <c r="Q76" s="284">
        <f>+I76+E76+C76+M76</f>
        <v>55</v>
      </c>
      <c r="R76" s="287"/>
      <c r="S76" s="346">
        <f>+R76+Q76</f>
        <v>55</v>
      </c>
    </row>
    <row r="77" spans="1:19" ht="15" thickBot="1" x14ac:dyDescent="0.4">
      <c r="A77" s="99">
        <f>+A76+1</f>
        <v>12</v>
      </c>
      <c r="B77" s="402">
        <v>45931</v>
      </c>
      <c r="C77" s="401">
        <f>COUNTIF('BASE AA'!T3:T326,"=1")</f>
        <v>36</v>
      </c>
      <c r="D77" s="274">
        <f>+C77/36</f>
        <v>1</v>
      </c>
      <c r="E77" s="268">
        <f>COUNTIF('BASE AA'!T3:T324,"=2")</f>
        <v>3</v>
      </c>
      <c r="F77" s="275">
        <f>+E77</f>
        <v>3</v>
      </c>
      <c r="G77" s="275">
        <f>P$37</f>
        <v>3.6666666666666665</v>
      </c>
      <c r="H77" s="274">
        <f>F77/G77</f>
        <v>0.81818181818181823</v>
      </c>
      <c r="I77" s="460">
        <f>COUNTIF('BASE AA'!T3:T324,"=3")</f>
        <v>6</v>
      </c>
      <c r="J77" s="275">
        <f>I77</f>
        <v>6</v>
      </c>
      <c r="K77" s="275">
        <f>+Q37</f>
        <v>10.333333333333334</v>
      </c>
      <c r="L77" s="274">
        <f t="shared" ref="L77" si="61">J77/K77</f>
        <v>0.58064516129032251</v>
      </c>
      <c r="M77" s="460">
        <f>COUNTIF('BASE AA'!T3:T324,"=4")</f>
        <v>8</v>
      </c>
      <c r="N77" s="280">
        <f>+N76+M77</f>
        <v>67</v>
      </c>
      <c r="O77" s="275">
        <f>+$R$37*7</f>
        <v>71.166666666666657</v>
      </c>
      <c r="P77" s="274">
        <f>+N77/O77</f>
        <v>0.94145199063231866</v>
      </c>
      <c r="Q77" s="284">
        <f>+I77+E77+C77+M77</f>
        <v>53</v>
      </c>
      <c r="R77" s="287"/>
      <c r="S77" s="346">
        <f>+R77+Q77</f>
        <v>53</v>
      </c>
    </row>
    <row r="83" spans="1:19" x14ac:dyDescent="0.35">
      <c r="A83" s="624" t="s">
        <v>1198</v>
      </c>
      <c r="B83" s="625"/>
      <c r="C83" s="625"/>
      <c r="D83" s="211">
        <f>+(D126+H126+L126+P126)/4</f>
        <v>0.47535014005602244</v>
      </c>
      <c r="E83" s="125"/>
      <c r="F83" s="125"/>
      <c r="G83" s="125"/>
      <c r="H83" s="125"/>
      <c r="I83" s="125"/>
      <c r="J83" s="125"/>
      <c r="K83" s="125"/>
      <c r="L83" s="126"/>
      <c r="M83" s="126"/>
      <c r="N83" s="120" t="s">
        <v>550</v>
      </c>
      <c r="O83" s="113" t="s">
        <v>780</v>
      </c>
      <c r="P83" s="113" t="s">
        <v>1000</v>
      </c>
      <c r="Q83" s="113" t="s">
        <v>766</v>
      </c>
      <c r="R83" s="114" t="s">
        <v>767</v>
      </c>
      <c r="S83" s="115" t="s">
        <v>401</v>
      </c>
    </row>
    <row r="84" spans="1:19" ht="15" thickBot="1" x14ac:dyDescent="0.4">
      <c r="A84" s="142" t="s">
        <v>1195</v>
      </c>
      <c r="B84" s="143"/>
      <c r="C84" s="143"/>
      <c r="D84" s="144">
        <v>0.4</v>
      </c>
      <c r="L84" s="77"/>
      <c r="M84" s="77"/>
      <c r="N84" s="63" t="s">
        <v>781</v>
      </c>
      <c r="O84" s="61">
        <f>8+1</f>
        <v>9</v>
      </c>
      <c r="P84" s="61">
        <v>2</v>
      </c>
      <c r="Q84" s="61">
        <v>3</v>
      </c>
      <c r="R84" s="62">
        <v>94</v>
      </c>
      <c r="S84" s="103">
        <f>+SUM(O84:R84)</f>
        <v>108</v>
      </c>
    </row>
    <row r="85" spans="1:19" x14ac:dyDescent="0.35">
      <c r="A85" s="405"/>
      <c r="B85" s="406"/>
      <c r="C85" s="406"/>
      <c r="D85" s="407"/>
      <c r="L85" s="77"/>
      <c r="M85" s="77"/>
      <c r="N85" s="63" t="s">
        <v>1492</v>
      </c>
      <c r="O85" s="61">
        <v>4</v>
      </c>
      <c r="P85" s="61"/>
      <c r="Q85" s="61"/>
      <c r="R85" s="62">
        <v>1</v>
      </c>
      <c r="S85" s="103"/>
    </row>
    <row r="86" spans="1:19" x14ac:dyDescent="0.35">
      <c r="A86" s="405"/>
      <c r="B86" s="406"/>
      <c r="C86" s="406"/>
      <c r="D86" s="407"/>
      <c r="L86" s="77"/>
      <c r="M86" s="77"/>
      <c r="N86" s="63" t="s">
        <v>1499</v>
      </c>
      <c r="O86" s="61">
        <v>6</v>
      </c>
      <c r="P86" s="61"/>
      <c r="Q86" s="61"/>
      <c r="R86" s="62">
        <v>1</v>
      </c>
      <c r="S86" s="103"/>
    </row>
    <row r="87" spans="1:19" x14ac:dyDescent="0.35">
      <c r="A87" s="405"/>
      <c r="B87" s="406"/>
      <c r="C87" s="406"/>
      <c r="D87" s="407"/>
      <c r="L87" s="77"/>
      <c r="M87" s="77"/>
      <c r="N87" s="63" t="s">
        <v>1498</v>
      </c>
      <c r="O87" s="61">
        <f>8+4</f>
        <v>12</v>
      </c>
      <c r="P87" s="61"/>
      <c r="Q87" s="61"/>
      <c r="R87" s="62">
        <v>1</v>
      </c>
      <c r="S87" s="103"/>
    </row>
    <row r="88" spans="1:19" x14ac:dyDescent="0.35">
      <c r="A88" s="127"/>
      <c r="D88" s="323"/>
      <c r="L88" s="77"/>
      <c r="M88" s="77"/>
      <c r="N88" s="63" t="s">
        <v>782</v>
      </c>
      <c r="O88" s="61">
        <v>15</v>
      </c>
      <c r="P88" s="61"/>
      <c r="Q88" s="61">
        <v>2</v>
      </c>
      <c r="R88" s="62">
        <v>22</v>
      </c>
      <c r="S88" s="103">
        <f>+SUM(O88:R88)</f>
        <v>39</v>
      </c>
    </row>
    <row r="89" spans="1:19" x14ac:dyDescent="0.35">
      <c r="A89" s="127"/>
      <c r="L89" s="77"/>
      <c r="M89" s="77"/>
      <c r="N89" s="116" t="s">
        <v>401</v>
      </c>
      <c r="O89" s="117">
        <f>SUM(O84:O88)</f>
        <v>46</v>
      </c>
      <c r="P89" s="117">
        <f>+SUM(P84:P88)/3</f>
        <v>0.66666666666666663</v>
      </c>
      <c r="Q89" s="117">
        <f>+SUM(Q84:Q88)/6</f>
        <v>0.83333333333333337</v>
      </c>
      <c r="R89" s="117">
        <f>+SUM(R84:R88)/12</f>
        <v>9.9166666666666661</v>
      </c>
      <c r="S89" s="118">
        <f>+SUM(S84:S88)</f>
        <v>147</v>
      </c>
    </row>
    <row r="90" spans="1:19" ht="15" thickBot="1" x14ac:dyDescent="0.4">
      <c r="A90" s="127"/>
      <c r="L90" s="77"/>
      <c r="M90" s="77"/>
      <c r="N90" s="626" t="s">
        <v>402</v>
      </c>
      <c r="O90" s="627"/>
      <c r="P90" s="627"/>
      <c r="Q90" s="627"/>
      <c r="R90" s="628"/>
      <c r="S90" s="119">
        <f>+S89/20</f>
        <v>7.35</v>
      </c>
    </row>
    <row r="91" spans="1:19" ht="15" thickBot="1" x14ac:dyDescent="0.4">
      <c r="A91" s="587" t="s">
        <v>1155</v>
      </c>
      <c r="B91" s="588"/>
      <c r="C91" s="588"/>
      <c r="D91" s="588"/>
      <c r="E91" s="588"/>
      <c r="F91" s="588"/>
      <c r="G91" s="588"/>
      <c r="H91" s="588"/>
      <c r="I91" s="588"/>
      <c r="J91" s="588"/>
      <c r="K91" s="588"/>
      <c r="L91" s="588"/>
      <c r="M91" s="588"/>
      <c r="N91" s="588"/>
      <c r="O91" s="588"/>
      <c r="P91" s="588"/>
      <c r="Q91" s="588"/>
      <c r="R91" s="588"/>
      <c r="S91" s="589"/>
    </row>
    <row r="92" spans="1:19" x14ac:dyDescent="0.35">
      <c r="A92" s="598" t="s">
        <v>771</v>
      </c>
      <c r="B92" s="600" t="s">
        <v>549</v>
      </c>
      <c r="C92" s="584" t="s">
        <v>1546</v>
      </c>
      <c r="D92" s="586"/>
      <c r="E92" s="584" t="s">
        <v>1542</v>
      </c>
      <c r="F92" s="585"/>
      <c r="G92" s="585"/>
      <c r="H92" s="586"/>
      <c r="I92" s="584" t="s">
        <v>1547</v>
      </c>
      <c r="J92" s="585"/>
      <c r="K92" s="585"/>
      <c r="L92" s="586"/>
      <c r="M92" s="584" t="s">
        <v>1527</v>
      </c>
      <c r="N92" s="585"/>
      <c r="O92" s="585"/>
      <c r="P92" s="586"/>
      <c r="Q92" s="584" t="s">
        <v>775</v>
      </c>
      <c r="R92" s="585"/>
      <c r="S92" s="586"/>
    </row>
    <row r="93" spans="1:19" ht="15" thickBot="1" x14ac:dyDescent="0.4">
      <c r="A93" s="599"/>
      <c r="B93" s="601"/>
      <c r="C93" s="121" t="s">
        <v>1150</v>
      </c>
      <c r="D93" s="150" t="s">
        <v>1151</v>
      </c>
      <c r="E93" s="121" t="s">
        <v>1150</v>
      </c>
      <c r="F93" s="16" t="s">
        <v>1152</v>
      </c>
      <c r="G93" s="16" t="s">
        <v>1153</v>
      </c>
      <c r="H93" s="19" t="s">
        <v>1151</v>
      </c>
      <c r="I93" s="69" t="s">
        <v>772</v>
      </c>
      <c r="J93" s="71" t="s">
        <v>768</v>
      </c>
      <c r="K93" s="71" t="s">
        <v>769</v>
      </c>
      <c r="L93" s="70" t="s">
        <v>770</v>
      </c>
      <c r="M93" s="69" t="s">
        <v>772</v>
      </c>
      <c r="N93" s="71" t="s">
        <v>768</v>
      </c>
      <c r="O93" s="71" t="s">
        <v>769</v>
      </c>
      <c r="P93" s="70" t="s">
        <v>770</v>
      </c>
      <c r="Q93" s="72" t="s">
        <v>773</v>
      </c>
      <c r="R93" s="71" t="s">
        <v>1001</v>
      </c>
      <c r="S93" s="19" t="s">
        <v>774</v>
      </c>
    </row>
    <row r="94" spans="1:19" hidden="1" outlineLevel="1" x14ac:dyDescent="0.35">
      <c r="A94" s="246">
        <v>1</v>
      </c>
      <c r="B94" s="247">
        <v>44287</v>
      </c>
      <c r="C94" s="206" t="e">
        <f>COUNTIF('BASE ELEC'!#REF!,"=1")</f>
        <v>#REF!</v>
      </c>
      <c r="D94" s="203" t="e">
        <f>+C94/$O$89</f>
        <v>#REF!</v>
      </c>
      <c r="E94" s="293" t="e">
        <f>COUNTIF('BASE ELEC'!#REF!,"=2")</f>
        <v>#REF!</v>
      </c>
      <c r="F94" s="249" t="e">
        <f>+E94</f>
        <v>#REF!</v>
      </c>
      <c r="G94" s="249">
        <f>+P$89</f>
        <v>0.66666666666666663</v>
      </c>
      <c r="H94" s="250" t="e">
        <f>+(F94/G94)</f>
        <v>#REF!</v>
      </c>
      <c r="I94" s="251" t="e">
        <f>COUNTIF('BASE ELEC'!#REF!,"=3")</f>
        <v>#REF!</v>
      </c>
      <c r="J94" s="249" t="e">
        <f>+I94</f>
        <v>#REF!</v>
      </c>
      <c r="K94" s="249">
        <f>+Q89</f>
        <v>0.83333333333333337</v>
      </c>
      <c r="L94" s="252" t="e">
        <f t="shared" ref="L94:L105" si="62">J94/K94</f>
        <v>#REF!</v>
      </c>
      <c r="M94" s="246" t="e">
        <f>COUNTIF('BASE ELEC'!#REF!,"=4")</f>
        <v>#REF!</v>
      </c>
      <c r="N94" s="253" t="e">
        <f>+M94</f>
        <v>#REF!</v>
      </c>
      <c r="O94" s="249">
        <f>+R89</f>
        <v>9.9166666666666661</v>
      </c>
      <c r="P94" s="250" t="e">
        <f>+N94/O94</f>
        <v>#REF!</v>
      </c>
      <c r="Q94" s="254" t="e">
        <f>+I94+E94+C94+M94</f>
        <v>#REF!</v>
      </c>
      <c r="R94" s="205">
        <f>COUNTIF(CORRECTIVOS!B:F,CORRECTIVOS!#REF!)</f>
        <v>0</v>
      </c>
      <c r="S94" s="255" t="e">
        <f>+R94+Q94</f>
        <v>#REF!</v>
      </c>
    </row>
    <row r="95" spans="1:19" ht="15" hidden="1" outlineLevel="1" thickBot="1" x14ac:dyDescent="0.4">
      <c r="A95" s="257">
        <f>+A94+1</f>
        <v>2</v>
      </c>
      <c r="B95" s="258">
        <v>44317</v>
      </c>
      <c r="C95" s="206" t="e">
        <f>COUNTIF('BASE ELEC'!#REF!,"=1")</f>
        <v>#REF!</v>
      </c>
      <c r="D95" s="203" t="e">
        <f t="shared" ref="D95:D105" si="63">+C95/$O$89</f>
        <v>#REF!</v>
      </c>
      <c r="E95" s="294" t="e">
        <f>COUNTIF('BASE ELEC'!#REF!,"=2")</f>
        <v>#REF!</v>
      </c>
      <c r="F95" s="209" t="e">
        <f>+E95+F94</f>
        <v>#REF!</v>
      </c>
      <c r="G95" s="209">
        <f>+P$89+A$95</f>
        <v>2.6666666666666665</v>
      </c>
      <c r="H95" s="259" t="e">
        <f>F95/G95</f>
        <v>#REF!</v>
      </c>
      <c r="I95" s="210" t="e">
        <f>COUNTIF('BASE ELEC'!#REF!,"=3")</f>
        <v>#REF!</v>
      </c>
      <c r="J95" s="209" t="e">
        <f>+J94+I95</f>
        <v>#REF!</v>
      </c>
      <c r="K95" s="209">
        <f>A95*$Q$89</f>
        <v>1.6666666666666667</v>
      </c>
      <c r="L95" s="260" t="e">
        <f t="shared" si="62"/>
        <v>#REF!</v>
      </c>
      <c r="M95" s="257" t="e">
        <f>COUNTIF('BASE ELEC'!#REF!,"=4")</f>
        <v>#REF!</v>
      </c>
      <c r="N95" s="262" t="e">
        <f t="shared" ref="N95:N105" si="64">+M95+N94</f>
        <v>#REF!</v>
      </c>
      <c r="O95" s="263">
        <f>+A95*$R$89</f>
        <v>19.833333333333332</v>
      </c>
      <c r="P95" s="264" t="e">
        <f t="shared" ref="P95:P105" si="65">+N95/O95</f>
        <v>#REF!</v>
      </c>
      <c r="Q95" s="265" t="e">
        <f t="shared" ref="Q95:Q105" si="66">+I95+E95+C95+M95</f>
        <v>#REF!</v>
      </c>
      <c r="R95" s="205">
        <v>24</v>
      </c>
      <c r="S95" s="266" t="e">
        <f t="shared" ref="S95:S105" si="67">+R95+Q95</f>
        <v>#REF!</v>
      </c>
    </row>
    <row r="96" spans="1:19" ht="15" hidden="1" outlineLevel="1" thickBot="1" x14ac:dyDescent="0.4">
      <c r="A96" s="257">
        <f t="shared" ref="A96:A105" si="68">+A95+1</f>
        <v>3</v>
      </c>
      <c r="B96" s="247">
        <v>44348</v>
      </c>
      <c r="C96" s="206" t="e">
        <f>COUNTIF('BASE ELEC'!#REF!,"=1")</f>
        <v>#REF!</v>
      </c>
      <c r="D96" s="203" t="e">
        <f t="shared" si="63"/>
        <v>#REF!</v>
      </c>
      <c r="E96" s="294" t="e">
        <f>COUNTIF('BASE ELEC'!#REF!,"=2")</f>
        <v>#REF!</v>
      </c>
      <c r="F96" s="209" t="e">
        <f t="shared" ref="F96:F105" si="69">+F95+E96</f>
        <v>#REF!</v>
      </c>
      <c r="G96" s="209">
        <f>+P$89+A$96</f>
        <v>3.6666666666666665</v>
      </c>
      <c r="H96" s="259">
        <v>1</v>
      </c>
      <c r="I96" s="210" t="e">
        <f>COUNTIF('BASE ELEC'!#REF!,"=3")</f>
        <v>#REF!</v>
      </c>
      <c r="J96" s="209" t="e">
        <f t="shared" ref="J96:J105" si="70">+J95+I96</f>
        <v>#REF!</v>
      </c>
      <c r="K96" s="209">
        <f>A96*$Q$89</f>
        <v>2.5</v>
      </c>
      <c r="L96" s="260" t="e">
        <f t="shared" si="62"/>
        <v>#REF!</v>
      </c>
      <c r="M96" s="257" t="e">
        <f>COUNTIF('BASE ELEC'!#REF!,"=4")</f>
        <v>#REF!</v>
      </c>
      <c r="N96" s="262" t="e">
        <f t="shared" si="64"/>
        <v>#REF!</v>
      </c>
      <c r="O96" s="263">
        <f t="shared" ref="O96:O105" si="71">+A96*$R$89</f>
        <v>29.75</v>
      </c>
      <c r="P96" s="264" t="e">
        <f t="shared" si="65"/>
        <v>#REF!</v>
      </c>
      <c r="Q96" s="265" t="e">
        <f t="shared" si="66"/>
        <v>#REF!</v>
      </c>
      <c r="R96" s="205">
        <v>26</v>
      </c>
      <c r="S96" s="266" t="e">
        <f t="shared" si="67"/>
        <v>#REF!</v>
      </c>
    </row>
    <row r="97" spans="1:19" ht="15" hidden="1" outlineLevel="1" thickBot="1" x14ac:dyDescent="0.4">
      <c r="A97" s="257">
        <f t="shared" si="68"/>
        <v>4</v>
      </c>
      <c r="B97" s="258">
        <v>44378</v>
      </c>
      <c r="C97" s="206" t="e">
        <f>COUNTIF('BASE ELEC'!#REF!,"=1")</f>
        <v>#REF!</v>
      </c>
      <c r="D97" s="203" t="e">
        <f t="shared" si="63"/>
        <v>#REF!</v>
      </c>
      <c r="E97" s="294" t="e">
        <f>COUNTIF('BASE ELEC'!#REF!,"=2")</f>
        <v>#REF!</v>
      </c>
      <c r="F97" s="209" t="e">
        <f>+E97</f>
        <v>#REF!</v>
      </c>
      <c r="G97" s="249">
        <f>+P$89</f>
        <v>0.66666666666666663</v>
      </c>
      <c r="H97" s="259" t="e">
        <f t="shared" ref="H97:H105" si="72">F97/G97</f>
        <v>#REF!</v>
      </c>
      <c r="I97" s="210" t="e">
        <f>COUNTIF('BASE ELEC'!#REF!,"=3")</f>
        <v>#REF!</v>
      </c>
      <c r="J97" s="209" t="e">
        <f t="shared" si="70"/>
        <v>#REF!</v>
      </c>
      <c r="K97" s="209">
        <f>A97*$Q$89</f>
        <v>3.3333333333333335</v>
      </c>
      <c r="L97" s="260" t="e">
        <f t="shared" si="62"/>
        <v>#REF!</v>
      </c>
      <c r="M97" s="257" t="e">
        <f>COUNTIF('BASE ELEC'!#REF!,"=4")</f>
        <v>#REF!</v>
      </c>
      <c r="N97" s="262" t="e">
        <f t="shared" si="64"/>
        <v>#REF!</v>
      </c>
      <c r="O97" s="263">
        <f t="shared" si="71"/>
        <v>39.666666666666664</v>
      </c>
      <c r="P97" s="264" t="e">
        <f t="shared" si="65"/>
        <v>#REF!</v>
      </c>
      <c r="Q97" s="265" t="e">
        <f t="shared" si="66"/>
        <v>#REF!</v>
      </c>
      <c r="R97" s="205">
        <v>22</v>
      </c>
      <c r="S97" s="266" t="e">
        <f t="shared" si="67"/>
        <v>#REF!</v>
      </c>
    </row>
    <row r="98" spans="1:19" hidden="1" outlineLevel="1" x14ac:dyDescent="0.35">
      <c r="A98" s="257">
        <f t="shared" si="68"/>
        <v>5</v>
      </c>
      <c r="B98" s="247">
        <v>44409</v>
      </c>
      <c r="C98" s="206" t="e">
        <f>COUNTIF('BASE ELEC'!#REF!,"=1")</f>
        <v>#REF!</v>
      </c>
      <c r="D98" s="203" t="e">
        <f t="shared" si="63"/>
        <v>#REF!</v>
      </c>
      <c r="E98" s="294" t="e">
        <f>COUNTIF('BASE ELEC'!#REF!,"=2")</f>
        <v>#REF!</v>
      </c>
      <c r="F98" s="209" t="e">
        <f t="shared" si="69"/>
        <v>#REF!</v>
      </c>
      <c r="G98" s="209">
        <f>+P$89+A$95</f>
        <v>2.6666666666666665</v>
      </c>
      <c r="H98" s="259" t="e">
        <f t="shared" si="72"/>
        <v>#REF!</v>
      </c>
      <c r="I98" s="210" t="e">
        <f>COUNTIF('BASE ELEC'!#REF!,"=3")</f>
        <v>#REF!</v>
      </c>
      <c r="J98" s="209" t="e">
        <f t="shared" si="70"/>
        <v>#REF!</v>
      </c>
      <c r="K98" s="209">
        <f>A98*$Q$89</f>
        <v>4.166666666666667</v>
      </c>
      <c r="L98" s="260" t="e">
        <f t="shared" si="62"/>
        <v>#REF!</v>
      </c>
      <c r="M98" s="257" t="e">
        <f>COUNTIF('BASE ELEC'!#REF!,"=4")</f>
        <v>#REF!</v>
      </c>
      <c r="N98" s="262" t="e">
        <f t="shared" si="64"/>
        <v>#REF!</v>
      </c>
      <c r="O98" s="263">
        <f t="shared" si="71"/>
        <v>49.583333333333329</v>
      </c>
      <c r="P98" s="264" t="e">
        <f t="shared" si="65"/>
        <v>#REF!</v>
      </c>
      <c r="Q98" s="265" t="e">
        <f t="shared" si="66"/>
        <v>#REF!</v>
      </c>
      <c r="R98" s="205">
        <v>15</v>
      </c>
      <c r="S98" s="266" t="e">
        <f t="shared" si="67"/>
        <v>#REF!</v>
      </c>
    </row>
    <row r="99" spans="1:19" ht="15" hidden="1" outlineLevel="1" thickBot="1" x14ac:dyDescent="0.4">
      <c r="A99" s="257">
        <f t="shared" si="68"/>
        <v>6</v>
      </c>
      <c r="B99" s="258">
        <v>44440</v>
      </c>
      <c r="C99" s="206" t="e">
        <f>COUNTIF('BASE ELEC'!#REF!,"=1")</f>
        <v>#REF!</v>
      </c>
      <c r="D99" s="203" t="e">
        <f t="shared" si="63"/>
        <v>#REF!</v>
      </c>
      <c r="E99" s="294" t="e">
        <f>COUNTIF('BASE ELEC'!#REF!,"=2")</f>
        <v>#REF!</v>
      </c>
      <c r="F99" s="209" t="e">
        <f t="shared" si="69"/>
        <v>#REF!</v>
      </c>
      <c r="G99" s="209">
        <f>+P$89+A$96</f>
        <v>3.6666666666666665</v>
      </c>
      <c r="H99" s="259">
        <v>1</v>
      </c>
      <c r="I99" s="210" t="e">
        <f>COUNTIF('BASE ELEC'!#REF!,"=3")</f>
        <v>#REF!</v>
      </c>
      <c r="J99" s="209" t="e">
        <f>+J98+I99</f>
        <v>#REF!</v>
      </c>
      <c r="K99" s="209">
        <f>A99*$Q$89</f>
        <v>5</v>
      </c>
      <c r="L99" s="260">
        <v>1</v>
      </c>
      <c r="M99" s="257" t="e">
        <f>COUNTIF('BASE ELEC'!#REF!,"=4")</f>
        <v>#REF!</v>
      </c>
      <c r="N99" s="262" t="e">
        <f t="shared" si="64"/>
        <v>#REF!</v>
      </c>
      <c r="O99" s="263">
        <f>+A99*$R$89</f>
        <v>59.5</v>
      </c>
      <c r="P99" s="264" t="e">
        <f t="shared" si="65"/>
        <v>#REF!</v>
      </c>
      <c r="Q99" s="265" t="e">
        <f>+I100+E99+C99+M99</f>
        <v>#REF!</v>
      </c>
      <c r="R99" s="205">
        <v>23</v>
      </c>
      <c r="S99" s="266" t="e">
        <f t="shared" si="67"/>
        <v>#REF!</v>
      </c>
    </row>
    <row r="100" spans="1:19" hidden="1" outlineLevel="1" x14ac:dyDescent="0.35">
      <c r="A100" s="257">
        <f t="shared" si="68"/>
        <v>7</v>
      </c>
      <c r="B100" s="247">
        <v>44470</v>
      </c>
      <c r="C100" s="206" t="e">
        <f>COUNTIF('BASE ELEC'!#REF!,"=1")</f>
        <v>#REF!</v>
      </c>
      <c r="D100" s="203" t="e">
        <f t="shared" si="63"/>
        <v>#REF!</v>
      </c>
      <c r="E100" s="294" t="e">
        <f>COUNTIF('BASE ELEC'!#REF!,"=2")</f>
        <v>#REF!</v>
      </c>
      <c r="F100" s="209" t="e">
        <f>+E100</f>
        <v>#REF!</v>
      </c>
      <c r="G100" s="205">
        <v>1</v>
      </c>
      <c r="H100" s="259" t="e">
        <f t="shared" si="72"/>
        <v>#REF!</v>
      </c>
      <c r="I100" s="210">
        <v>3</v>
      </c>
      <c r="J100" s="209" t="e">
        <f>+I100+I99</f>
        <v>#REF!</v>
      </c>
      <c r="K100" s="209">
        <f>+Q89</f>
        <v>0.83333333333333337</v>
      </c>
      <c r="L100" s="252" t="e">
        <f t="shared" si="62"/>
        <v>#REF!</v>
      </c>
      <c r="M100" s="257" t="e">
        <f>COUNTIF('BASE ELEC'!#REF!,"=4")</f>
        <v>#REF!</v>
      </c>
      <c r="N100" s="262" t="e">
        <f t="shared" si="64"/>
        <v>#REF!</v>
      </c>
      <c r="O100" s="263">
        <f t="shared" si="71"/>
        <v>69.416666666666657</v>
      </c>
      <c r="P100" s="264" t="e">
        <f t="shared" si="65"/>
        <v>#REF!</v>
      </c>
      <c r="Q100" s="265" t="e">
        <f t="shared" si="66"/>
        <v>#REF!</v>
      </c>
      <c r="R100" s="205">
        <v>20</v>
      </c>
      <c r="S100" s="266" t="e">
        <f t="shared" si="67"/>
        <v>#REF!</v>
      </c>
    </row>
    <row r="101" spans="1:19" ht="15" hidden="1" outlineLevel="1" thickBot="1" x14ac:dyDescent="0.4">
      <c r="A101" s="257">
        <f t="shared" si="68"/>
        <v>8</v>
      </c>
      <c r="B101" s="258">
        <v>44501</v>
      </c>
      <c r="C101" s="206" t="e">
        <f>COUNTIF('BASE ELEC'!#REF!,"=1")</f>
        <v>#REF!</v>
      </c>
      <c r="D101" s="203" t="e">
        <f t="shared" si="63"/>
        <v>#REF!</v>
      </c>
      <c r="E101" s="294" t="e">
        <f>COUNTIF('BASE ELEC'!#REF!,"=2")</f>
        <v>#REF!</v>
      </c>
      <c r="F101" s="209" t="e">
        <f t="shared" si="69"/>
        <v>#REF!</v>
      </c>
      <c r="G101" s="209">
        <v>3</v>
      </c>
      <c r="H101" s="259" t="e">
        <f t="shared" si="72"/>
        <v>#REF!</v>
      </c>
      <c r="I101" s="210" t="e">
        <f>COUNTIF('BASE ELEC'!#REF!,"=3")</f>
        <v>#REF!</v>
      </c>
      <c r="J101" s="209" t="e">
        <f t="shared" si="70"/>
        <v>#REF!</v>
      </c>
      <c r="K101" s="209">
        <f>A95*$Q$89</f>
        <v>1.6666666666666667</v>
      </c>
      <c r="L101" s="260" t="e">
        <f t="shared" si="62"/>
        <v>#REF!</v>
      </c>
      <c r="M101" s="257" t="e">
        <f>COUNTIF('BASE ELEC'!#REF!,"=4")</f>
        <v>#REF!</v>
      </c>
      <c r="N101" s="262" t="e">
        <f t="shared" si="64"/>
        <v>#REF!</v>
      </c>
      <c r="O101" s="263">
        <f t="shared" si="71"/>
        <v>79.333333333333329</v>
      </c>
      <c r="P101" s="264" t="e">
        <f t="shared" si="65"/>
        <v>#REF!</v>
      </c>
      <c r="Q101" s="265" t="e">
        <f t="shared" si="66"/>
        <v>#REF!</v>
      </c>
      <c r="R101" s="205">
        <v>20</v>
      </c>
      <c r="S101" s="267" t="e">
        <f t="shared" si="67"/>
        <v>#REF!</v>
      </c>
    </row>
    <row r="102" spans="1:19" hidden="1" outlineLevel="1" x14ac:dyDescent="0.35">
      <c r="A102" s="257">
        <f t="shared" si="68"/>
        <v>9</v>
      </c>
      <c r="B102" s="247">
        <v>44531</v>
      </c>
      <c r="C102" s="206" t="e">
        <f>COUNTIF('BASE ELEC'!#REF!,"=1")</f>
        <v>#REF!</v>
      </c>
      <c r="D102" s="203" t="e">
        <f t="shared" si="63"/>
        <v>#REF!</v>
      </c>
      <c r="E102" s="294" t="e">
        <f>COUNTIF('BASE ELEC'!#REF!,"=2")</f>
        <v>#REF!</v>
      </c>
      <c r="F102" s="209" t="e">
        <f t="shared" si="69"/>
        <v>#REF!</v>
      </c>
      <c r="G102" s="209">
        <v>4</v>
      </c>
      <c r="H102" s="295" t="e">
        <f t="shared" si="72"/>
        <v>#REF!</v>
      </c>
      <c r="I102" s="210" t="e">
        <f>COUNTIF('BASE ELEC'!#REF!,"=3")</f>
        <v>#REF!</v>
      </c>
      <c r="J102" s="209" t="e">
        <f t="shared" si="70"/>
        <v>#REF!</v>
      </c>
      <c r="K102" s="209">
        <f>A96*$Q$89</f>
        <v>2.5</v>
      </c>
      <c r="L102" s="260" t="e">
        <f t="shared" si="62"/>
        <v>#REF!</v>
      </c>
      <c r="M102" s="257" t="e">
        <f>COUNTIF('BASE ELEC'!#REF!,"=4")</f>
        <v>#REF!</v>
      </c>
      <c r="N102" s="262" t="e">
        <f t="shared" si="64"/>
        <v>#REF!</v>
      </c>
      <c r="O102" s="263">
        <f t="shared" si="71"/>
        <v>89.25</v>
      </c>
      <c r="P102" s="264" t="e">
        <f t="shared" si="65"/>
        <v>#REF!</v>
      </c>
      <c r="Q102" s="265" t="e">
        <f t="shared" si="66"/>
        <v>#REF!</v>
      </c>
      <c r="R102" s="205">
        <v>22</v>
      </c>
      <c r="S102" s="267" t="e">
        <f t="shared" si="67"/>
        <v>#REF!</v>
      </c>
    </row>
    <row r="103" spans="1:19" ht="15" hidden="1" outlineLevel="1" thickBot="1" x14ac:dyDescent="0.4">
      <c r="A103" s="257">
        <f t="shared" si="68"/>
        <v>10</v>
      </c>
      <c r="B103" s="258">
        <v>44562</v>
      </c>
      <c r="C103" s="206" t="e">
        <f>COUNTIF('BASE ELEC'!#REF!,"=1")</f>
        <v>#REF!</v>
      </c>
      <c r="D103" s="203" t="e">
        <f t="shared" si="63"/>
        <v>#REF!</v>
      </c>
      <c r="E103" s="294" t="e">
        <f>COUNTIF('BASE ELEC'!#REF!,"=2")</f>
        <v>#REF!</v>
      </c>
      <c r="F103" s="209" t="e">
        <f>+E103</f>
        <v>#REF!</v>
      </c>
      <c r="G103" s="205">
        <v>1</v>
      </c>
      <c r="H103" s="259" t="e">
        <f t="shared" si="72"/>
        <v>#REF!</v>
      </c>
      <c r="I103" s="210" t="e">
        <f>COUNTIF('BASE ELEC'!#REF!,"=3")</f>
        <v>#REF!</v>
      </c>
      <c r="J103" s="209" t="e">
        <f t="shared" si="70"/>
        <v>#REF!</v>
      </c>
      <c r="K103" s="209">
        <f>A97*$Q$89</f>
        <v>3.3333333333333335</v>
      </c>
      <c r="L103" s="260" t="e">
        <f t="shared" si="62"/>
        <v>#REF!</v>
      </c>
      <c r="M103" s="257" t="e">
        <f>COUNTIF('BASE ELEC'!#REF!,"=4")</f>
        <v>#REF!</v>
      </c>
      <c r="N103" s="262" t="e">
        <f t="shared" si="64"/>
        <v>#REF!</v>
      </c>
      <c r="O103" s="263">
        <f t="shared" si="71"/>
        <v>99.166666666666657</v>
      </c>
      <c r="P103" s="264" t="e">
        <f t="shared" si="65"/>
        <v>#REF!</v>
      </c>
      <c r="Q103" s="265" t="e">
        <f t="shared" si="66"/>
        <v>#REF!</v>
      </c>
      <c r="R103" s="205">
        <v>20</v>
      </c>
      <c r="S103" s="267" t="e">
        <f t="shared" si="67"/>
        <v>#REF!</v>
      </c>
    </row>
    <row r="104" spans="1:19" hidden="1" outlineLevel="1" x14ac:dyDescent="0.35">
      <c r="A104" s="257">
        <f t="shared" si="68"/>
        <v>11</v>
      </c>
      <c r="B104" s="247">
        <v>44593</v>
      </c>
      <c r="C104" s="206" t="e">
        <f>COUNTIF('BASE ELEC'!#REF!,"=1")</f>
        <v>#REF!</v>
      </c>
      <c r="D104" s="203" t="e">
        <f t="shared" si="63"/>
        <v>#REF!</v>
      </c>
      <c r="E104" s="294" t="e">
        <f>COUNTIF('BASE ELEC'!#REF!,"=2")</f>
        <v>#REF!</v>
      </c>
      <c r="F104" s="209" t="e">
        <f t="shared" si="69"/>
        <v>#REF!</v>
      </c>
      <c r="G104" s="209">
        <v>3</v>
      </c>
      <c r="H104" s="259" t="e">
        <f t="shared" si="72"/>
        <v>#REF!</v>
      </c>
      <c r="I104" s="210" t="e">
        <f>COUNTIF('BASE ELEC'!#REF!,"=3")</f>
        <v>#REF!</v>
      </c>
      <c r="J104" s="209" t="e">
        <f t="shared" si="70"/>
        <v>#REF!</v>
      </c>
      <c r="K104" s="209">
        <f>A98*$Q$89</f>
        <v>4.166666666666667</v>
      </c>
      <c r="L104" s="260" t="e">
        <f t="shared" si="62"/>
        <v>#REF!</v>
      </c>
      <c r="M104" s="257" t="e">
        <f>COUNTIF('BASE ELEC'!#REF!,"=4")</f>
        <v>#REF!</v>
      </c>
      <c r="N104" s="262" t="e">
        <f t="shared" si="64"/>
        <v>#REF!</v>
      </c>
      <c r="O104" s="263">
        <f t="shared" si="71"/>
        <v>109.08333333333333</v>
      </c>
      <c r="P104" s="264" t="e">
        <f t="shared" si="65"/>
        <v>#REF!</v>
      </c>
      <c r="Q104" s="265" t="e">
        <f t="shared" si="66"/>
        <v>#REF!</v>
      </c>
      <c r="R104" s="205">
        <v>21</v>
      </c>
      <c r="S104" s="267" t="e">
        <f t="shared" si="67"/>
        <v>#REF!</v>
      </c>
    </row>
    <row r="105" spans="1:19" ht="15" hidden="1" outlineLevel="1" thickBot="1" x14ac:dyDescent="0.4">
      <c r="A105" s="240">
        <f t="shared" si="68"/>
        <v>12</v>
      </c>
      <c r="B105" s="258">
        <v>44621</v>
      </c>
      <c r="C105" s="297" t="e">
        <f>COUNTIF('BASE ELEC'!#REF!,"=1")</f>
        <v>#REF!</v>
      </c>
      <c r="D105" s="273" t="e">
        <f t="shared" si="63"/>
        <v>#REF!</v>
      </c>
      <c r="E105" s="239" t="e">
        <f>COUNTIF('BASE ELEC'!#REF!,"=2")</f>
        <v>#REF!</v>
      </c>
      <c r="F105" s="229" t="e">
        <f t="shared" si="69"/>
        <v>#REF!</v>
      </c>
      <c r="G105" s="230">
        <v>4</v>
      </c>
      <c r="H105" s="231" t="e">
        <f t="shared" si="72"/>
        <v>#REF!</v>
      </c>
      <c r="I105" s="210" t="e">
        <f>COUNTIF('BASE ELEC'!#REF!,"=3")</f>
        <v>#REF!</v>
      </c>
      <c r="J105" s="230" t="e">
        <f t="shared" si="70"/>
        <v>#REF!</v>
      </c>
      <c r="K105" s="209">
        <f>A99*$Q$89</f>
        <v>5</v>
      </c>
      <c r="L105" s="260" t="e">
        <f t="shared" si="62"/>
        <v>#REF!</v>
      </c>
      <c r="M105" s="240" t="e">
        <f>COUNTIF('BASE ELEC'!#REF!,"=4")</f>
        <v>#REF!</v>
      </c>
      <c r="N105" s="235" t="e">
        <f t="shared" si="64"/>
        <v>#REF!</v>
      </c>
      <c r="O105" s="236">
        <f t="shared" si="71"/>
        <v>119</v>
      </c>
      <c r="P105" s="296" t="e">
        <f t="shared" si="65"/>
        <v>#REF!</v>
      </c>
      <c r="Q105" s="290" t="e">
        <f t="shared" si="66"/>
        <v>#REF!</v>
      </c>
      <c r="R105" s="291">
        <f>COUNTIF(CORRECTIVOS!B:F,CORRECTIVOS!A$6)</f>
        <v>0</v>
      </c>
      <c r="S105" s="292" t="e">
        <f t="shared" si="67"/>
        <v>#REF!</v>
      </c>
    </row>
    <row r="106" spans="1:19" hidden="1" outlineLevel="1" x14ac:dyDescent="0.35">
      <c r="A106" s="108">
        <v>1</v>
      </c>
      <c r="B106" s="109">
        <v>44652</v>
      </c>
      <c r="C106" s="268" t="e">
        <f>COUNTIF('BASE ELEC'!#REF!,"=1")</f>
        <v>#REF!</v>
      </c>
      <c r="D106" s="274" t="e">
        <f>+C106/$O$89</f>
        <v>#REF!</v>
      </c>
      <c r="E106" s="277" t="e">
        <f>COUNTIF('BASE ELEC'!#REF!,"=2")</f>
        <v>#REF!</v>
      </c>
      <c r="F106" s="275" t="e">
        <f>+E106</f>
        <v>#REF!</v>
      </c>
      <c r="G106" s="275">
        <f>+$P$89</f>
        <v>0.66666666666666663</v>
      </c>
      <c r="H106" s="274" t="e">
        <f>+(F106/G106)</f>
        <v>#REF!</v>
      </c>
      <c r="I106" s="277" t="e">
        <f>COUNTIF('BASE ELEC'!#REF!,"=3")</f>
        <v>#REF!</v>
      </c>
      <c r="J106" s="275" t="e">
        <f>+I106</f>
        <v>#REF!</v>
      </c>
      <c r="K106" s="275">
        <f>+$Q$89</f>
        <v>0.83333333333333337</v>
      </c>
      <c r="L106" s="274" t="e">
        <f t="shared" ref="L106:L111" si="73">J106/K106</f>
        <v>#REF!</v>
      </c>
      <c r="M106" s="277" t="e">
        <f>COUNTIF('BASE ELEC'!#REF!,"=4")</f>
        <v>#REF!</v>
      </c>
      <c r="N106" s="280" t="e">
        <f>+M106</f>
        <v>#REF!</v>
      </c>
      <c r="O106" s="275">
        <f>+R101</f>
        <v>20</v>
      </c>
      <c r="P106" s="274" t="e">
        <f>+N106/O106</f>
        <v>#REF!</v>
      </c>
      <c r="Q106" s="284" t="e">
        <f>+I106+E106+C106+M106</f>
        <v>#REF!</v>
      </c>
      <c r="R106" s="280">
        <v>33</v>
      </c>
      <c r="S106" s="285" t="e">
        <f>+R106+Q106</f>
        <v>#REF!</v>
      </c>
    </row>
    <row r="107" spans="1:19" ht="15" hidden="1" outlineLevel="1" thickBot="1" x14ac:dyDescent="0.4">
      <c r="A107" s="110">
        <f>+A106+1</f>
        <v>2</v>
      </c>
      <c r="B107" s="111">
        <v>44682</v>
      </c>
      <c r="C107" s="269" t="e">
        <f>COUNTIF('BASE ELEC'!#REF!,"=1")</f>
        <v>#REF!</v>
      </c>
      <c r="D107" s="270" t="e">
        <f t="shared" ref="D107:D117" si="74">+C107/$O$89</f>
        <v>#REF!</v>
      </c>
      <c r="E107" s="278" t="e">
        <f>COUNTIF('BASE ELEC'!#REF!,"=2")</f>
        <v>#REF!</v>
      </c>
      <c r="F107" s="276" t="e">
        <f>+E107+F106</f>
        <v>#REF!</v>
      </c>
      <c r="G107" s="276">
        <f>+P$89+$A$107</f>
        <v>2.6666666666666665</v>
      </c>
      <c r="H107" s="270" t="e">
        <f>F107/G107</f>
        <v>#REF!</v>
      </c>
      <c r="I107" s="278" t="e">
        <f>COUNTIF('BASE ELEC'!#REF!,"=3")</f>
        <v>#REF!</v>
      </c>
      <c r="J107" s="276" t="e">
        <f>+J106+I107</f>
        <v>#REF!</v>
      </c>
      <c r="K107" s="276">
        <f>$A$107*$Q$89</f>
        <v>1.6666666666666667</v>
      </c>
      <c r="L107" s="270" t="e">
        <f t="shared" si="73"/>
        <v>#REF!</v>
      </c>
      <c r="M107" s="278" t="e">
        <f>COUNTIF('BASE ELEC'!#REF!,"=4")</f>
        <v>#REF!</v>
      </c>
      <c r="N107" s="282" t="e">
        <f t="shared" ref="N107:N117" si="75">+M107+N106</f>
        <v>#REF!</v>
      </c>
      <c r="O107" s="276">
        <f>+A107*$R$89</f>
        <v>19.833333333333332</v>
      </c>
      <c r="P107" s="270" t="e">
        <f t="shared" ref="P107:P117" si="76">+N107/O107</f>
        <v>#REF!</v>
      </c>
      <c r="Q107" s="286" t="e">
        <f>+I107+E107+C107+M107</f>
        <v>#REF!</v>
      </c>
      <c r="R107" s="287">
        <v>42</v>
      </c>
      <c r="S107" s="288" t="e">
        <f t="shared" ref="S107:S117" si="77">+R107+Q107</f>
        <v>#REF!</v>
      </c>
    </row>
    <row r="108" spans="1:19" hidden="1" outlineLevel="1" x14ac:dyDescent="0.35">
      <c r="A108" s="110">
        <f t="shared" ref="A108:A117" si="78">+A107+1</f>
        <v>3</v>
      </c>
      <c r="B108" s="109">
        <v>44713</v>
      </c>
      <c r="C108" s="269" t="e">
        <f>COUNTIF('BASE ELEC'!#REF!,"=1")</f>
        <v>#REF!</v>
      </c>
      <c r="D108" s="270" t="e">
        <f t="shared" si="74"/>
        <v>#REF!</v>
      </c>
      <c r="E108" s="278" t="e">
        <f>COUNTIF('BASE ELEC'!#REF!,"=2")</f>
        <v>#REF!</v>
      </c>
      <c r="F108" s="276" t="e">
        <f>+F107+E108</f>
        <v>#REF!</v>
      </c>
      <c r="G108" s="276">
        <f>+$P$89+$A$108</f>
        <v>3.6666666666666665</v>
      </c>
      <c r="H108" s="270" t="e">
        <f>F108/G108</f>
        <v>#REF!</v>
      </c>
      <c r="I108" s="278" t="e">
        <f>COUNTIF('BASE ELEC'!#REF!,"=3")</f>
        <v>#REF!</v>
      </c>
      <c r="J108" s="276" t="e">
        <f>+J107+I108</f>
        <v>#REF!</v>
      </c>
      <c r="K108" s="276">
        <f>$A$108*$Q$89</f>
        <v>2.5</v>
      </c>
      <c r="L108" s="270" t="e">
        <f t="shared" si="73"/>
        <v>#REF!</v>
      </c>
      <c r="M108" s="278" t="e">
        <f>COUNTIF('BASE ELEC'!#REF!,"=4")</f>
        <v>#REF!</v>
      </c>
      <c r="N108" s="282" t="e">
        <f t="shared" si="75"/>
        <v>#REF!</v>
      </c>
      <c r="O108" s="276">
        <f>+A108*$R$89</f>
        <v>29.75</v>
      </c>
      <c r="P108" s="270" t="e">
        <f t="shared" si="76"/>
        <v>#REF!</v>
      </c>
      <c r="Q108" s="286" t="e">
        <f>+I108+E108+C108+M108</f>
        <v>#REF!</v>
      </c>
      <c r="R108" s="287">
        <v>22</v>
      </c>
      <c r="S108" s="288" t="e">
        <f t="shared" si="77"/>
        <v>#REF!</v>
      </c>
    </row>
    <row r="109" spans="1:19" hidden="1" outlineLevel="1" x14ac:dyDescent="0.35">
      <c r="A109" s="110">
        <f t="shared" si="78"/>
        <v>4</v>
      </c>
      <c r="B109" s="111">
        <v>44743</v>
      </c>
      <c r="C109" s="269" t="e">
        <f>COUNTIF('BASE ELEC'!#REF!,"=1")</f>
        <v>#REF!</v>
      </c>
      <c r="D109" s="270" t="e">
        <f t="shared" si="74"/>
        <v>#REF!</v>
      </c>
      <c r="E109" s="278" t="e">
        <f>COUNTIF('BASE ELEC'!#REF!,"=2")</f>
        <v>#REF!</v>
      </c>
      <c r="F109" s="276" t="e">
        <f>+E109</f>
        <v>#REF!</v>
      </c>
      <c r="G109" s="276">
        <f>+$P$89</f>
        <v>0.66666666666666663</v>
      </c>
      <c r="H109" s="270" t="e">
        <f>F109/G109</f>
        <v>#REF!</v>
      </c>
      <c r="I109" s="278" t="e">
        <f>COUNTIF('BASE ELEC'!#REF!,"=3")</f>
        <v>#REF!</v>
      </c>
      <c r="J109" s="276" t="e">
        <f>+J108+I109</f>
        <v>#REF!</v>
      </c>
      <c r="K109" s="276">
        <f>$A$109*$Q$89</f>
        <v>3.3333333333333335</v>
      </c>
      <c r="L109" s="270" t="e">
        <f t="shared" si="73"/>
        <v>#REF!</v>
      </c>
      <c r="M109" s="278" t="e">
        <f>COUNTIF('BASE ELEC'!#REF!,"=4")</f>
        <v>#REF!</v>
      </c>
      <c r="N109" s="282" t="e">
        <f t="shared" si="75"/>
        <v>#REF!</v>
      </c>
      <c r="O109" s="276">
        <f>+A109*$R$89</f>
        <v>39.666666666666664</v>
      </c>
      <c r="P109" s="270" t="e">
        <f t="shared" si="76"/>
        <v>#REF!</v>
      </c>
      <c r="Q109" s="286" t="e">
        <f>+I109+E109+C109+M109</f>
        <v>#REF!</v>
      </c>
      <c r="R109" s="287">
        <v>29</v>
      </c>
      <c r="S109" s="288" t="e">
        <f t="shared" si="77"/>
        <v>#REF!</v>
      </c>
    </row>
    <row r="110" spans="1:19" hidden="1" outlineLevel="1" x14ac:dyDescent="0.35">
      <c r="A110" s="110">
        <f t="shared" si="78"/>
        <v>5</v>
      </c>
      <c r="B110" s="111">
        <v>44774</v>
      </c>
      <c r="C110" s="269" t="e">
        <f>COUNTIF('BASE ELEC'!#REF!,"=1")</f>
        <v>#REF!</v>
      </c>
      <c r="D110" s="270" t="e">
        <f t="shared" si="74"/>
        <v>#REF!</v>
      </c>
      <c r="E110" s="278" t="e">
        <f>COUNTIF('BASE ELEC'!#REF!,"=2")</f>
        <v>#REF!</v>
      </c>
      <c r="F110" s="276" t="e">
        <f>+F109+E110</f>
        <v>#REF!</v>
      </c>
      <c r="G110" s="276">
        <f>+P$89+$A$107</f>
        <v>2.6666666666666665</v>
      </c>
      <c r="H110" s="270" t="e">
        <f>F110/G110</f>
        <v>#REF!</v>
      </c>
      <c r="I110" s="278" t="e">
        <f>COUNTIF('BASE ELEC'!#REF!,"=3")</f>
        <v>#REF!</v>
      </c>
      <c r="J110" s="276" t="e">
        <f>+J109+I110</f>
        <v>#REF!</v>
      </c>
      <c r="K110" s="276">
        <f>$A$110*$Q$89</f>
        <v>4.166666666666667</v>
      </c>
      <c r="L110" s="270" t="e">
        <f t="shared" si="73"/>
        <v>#REF!</v>
      </c>
      <c r="M110" s="278" t="e">
        <f>COUNTIF('BASE ELEC'!#REF!,"=4")</f>
        <v>#REF!</v>
      </c>
      <c r="N110" s="282" t="e">
        <f t="shared" si="75"/>
        <v>#REF!</v>
      </c>
      <c r="O110" s="276">
        <f>+A110*$R$89</f>
        <v>49.583333333333329</v>
      </c>
      <c r="P110" s="270" t="e">
        <f t="shared" si="76"/>
        <v>#REF!</v>
      </c>
      <c r="Q110" s="286" t="e">
        <f>+I110+E110+C110+M110</f>
        <v>#REF!</v>
      </c>
      <c r="R110" s="287">
        <v>30</v>
      </c>
      <c r="S110" s="288" t="e">
        <f t="shared" si="77"/>
        <v>#REF!</v>
      </c>
    </row>
    <row r="111" spans="1:19" hidden="1" outlineLevel="1" x14ac:dyDescent="0.35">
      <c r="A111" s="110">
        <f t="shared" si="78"/>
        <v>6</v>
      </c>
      <c r="B111" s="111">
        <v>44805</v>
      </c>
      <c r="C111" s="269" t="e">
        <f>COUNTIF('BASE ELEC'!#REF!,"=1")</f>
        <v>#REF!</v>
      </c>
      <c r="D111" s="270" t="e">
        <f t="shared" si="74"/>
        <v>#REF!</v>
      </c>
      <c r="E111" s="278" t="e">
        <f>COUNTIF('BASE ELEC'!#REF!,"=2")</f>
        <v>#REF!</v>
      </c>
      <c r="F111" s="276" t="e">
        <f>+F110+E111</f>
        <v>#REF!</v>
      </c>
      <c r="G111" s="276">
        <f>+$P$89+$A$108</f>
        <v>3.6666666666666665</v>
      </c>
      <c r="H111" s="270" t="e">
        <f>F111/G111</f>
        <v>#REF!</v>
      </c>
      <c r="I111" s="278" t="e">
        <f>COUNTIF('BASE ELEC'!#REF!,"=3")</f>
        <v>#REF!</v>
      </c>
      <c r="J111" s="276" t="e">
        <f>+J110+I111</f>
        <v>#REF!</v>
      </c>
      <c r="K111" s="276">
        <f>$A$111*$Q$89</f>
        <v>5</v>
      </c>
      <c r="L111" s="270" t="e">
        <f t="shared" si="73"/>
        <v>#REF!</v>
      </c>
      <c r="M111" s="278" t="e">
        <f>COUNTIF('BASE ELEC'!#REF!,"=4")</f>
        <v>#REF!</v>
      </c>
      <c r="N111" s="282" t="e">
        <f t="shared" si="75"/>
        <v>#REF!</v>
      </c>
      <c r="O111" s="276">
        <f>+A111*$R$89</f>
        <v>59.5</v>
      </c>
      <c r="P111" s="270" t="e">
        <f t="shared" si="76"/>
        <v>#REF!</v>
      </c>
      <c r="Q111" s="286" t="e">
        <f>+I112+E111+C111+M111</f>
        <v>#REF!</v>
      </c>
      <c r="R111" s="287">
        <v>32</v>
      </c>
      <c r="S111" s="288" t="e">
        <f t="shared" si="77"/>
        <v>#REF!</v>
      </c>
    </row>
    <row r="112" spans="1:19" hidden="1" outlineLevel="1" x14ac:dyDescent="0.35">
      <c r="A112" s="110">
        <f t="shared" si="78"/>
        <v>7</v>
      </c>
      <c r="B112" s="111">
        <v>44835</v>
      </c>
      <c r="C112" s="269" t="e">
        <f>COUNTIF('BASE ELEC'!#REF!,"=1")</f>
        <v>#REF!</v>
      </c>
      <c r="D112" s="270" t="e">
        <f t="shared" si="74"/>
        <v>#REF!</v>
      </c>
      <c r="E112" s="278" t="e">
        <f>COUNTIF('BASE ELEC'!#REF!,"=2")</f>
        <v>#REF!</v>
      </c>
      <c r="F112" s="276" t="e">
        <f>+E112</f>
        <v>#REF!</v>
      </c>
      <c r="G112" s="276">
        <f>+$P$89</f>
        <v>0.66666666666666663</v>
      </c>
      <c r="H112" s="270" t="e">
        <f t="shared" ref="H112:H117" si="79">F112/G112</f>
        <v>#REF!</v>
      </c>
      <c r="I112" s="278" t="e">
        <f>COUNTIF('BASE ELEC'!#REF!,"=3")</f>
        <v>#REF!</v>
      </c>
      <c r="J112" s="276">
        <v>0</v>
      </c>
      <c r="K112" s="276">
        <f>+$Q$89</f>
        <v>0.83333333333333337</v>
      </c>
      <c r="L112" s="270">
        <f t="shared" ref="L112:L117" si="80">J112/K112</f>
        <v>0</v>
      </c>
      <c r="M112" s="278" t="e">
        <f>COUNTIF('BASE ELEC'!#REF!,"=4")</f>
        <v>#REF!</v>
      </c>
      <c r="N112" s="282" t="e">
        <f t="shared" si="75"/>
        <v>#REF!</v>
      </c>
      <c r="O112" s="276">
        <f t="shared" ref="O112:O117" si="81">+A112*$R$89</f>
        <v>69.416666666666657</v>
      </c>
      <c r="P112" s="270" t="e">
        <f t="shared" si="76"/>
        <v>#REF!</v>
      </c>
      <c r="Q112" s="286" t="e">
        <f t="shared" ref="Q112:Q117" si="82">+I112+E112+C112+M112</f>
        <v>#REF!</v>
      </c>
      <c r="R112" s="287">
        <v>31</v>
      </c>
      <c r="S112" s="288" t="e">
        <f t="shared" si="77"/>
        <v>#REF!</v>
      </c>
    </row>
    <row r="113" spans="1:19" hidden="1" outlineLevel="1" x14ac:dyDescent="0.35">
      <c r="A113" s="110">
        <f t="shared" si="78"/>
        <v>8</v>
      </c>
      <c r="B113" s="111">
        <v>44866</v>
      </c>
      <c r="C113" s="269" t="e">
        <f>COUNTIF('BASE ELEC'!#REF!,"=1")</f>
        <v>#REF!</v>
      </c>
      <c r="D113" s="270" t="e">
        <f t="shared" si="74"/>
        <v>#REF!</v>
      </c>
      <c r="E113" s="278" t="e">
        <f>COUNTIF('BASE ELEC'!#REF!,"=2")</f>
        <v>#REF!</v>
      </c>
      <c r="F113" s="276" t="e">
        <f>+F112+E113</f>
        <v>#REF!</v>
      </c>
      <c r="G113" s="276">
        <f>+P$89+$A$107</f>
        <v>2.6666666666666665</v>
      </c>
      <c r="H113" s="270" t="e">
        <f t="shared" si="79"/>
        <v>#REF!</v>
      </c>
      <c r="I113" s="278" t="e">
        <f>COUNTIF('BASE ELEC'!#REF!,"=3")</f>
        <v>#REF!</v>
      </c>
      <c r="J113" s="276" t="e">
        <f>+J112+I113</f>
        <v>#REF!</v>
      </c>
      <c r="K113" s="276">
        <f>$A$107*$Q$89</f>
        <v>1.6666666666666667</v>
      </c>
      <c r="L113" s="270" t="e">
        <f t="shared" si="80"/>
        <v>#REF!</v>
      </c>
      <c r="M113" s="278" t="e">
        <f>COUNTIF('BASE ELEC'!#REF!,"=4")</f>
        <v>#REF!</v>
      </c>
      <c r="N113" s="282" t="e">
        <f t="shared" si="75"/>
        <v>#REF!</v>
      </c>
      <c r="O113" s="276">
        <f t="shared" si="81"/>
        <v>79.333333333333329</v>
      </c>
      <c r="P113" s="270" t="e">
        <f t="shared" si="76"/>
        <v>#REF!</v>
      </c>
      <c r="Q113" s="286" t="e">
        <f t="shared" si="82"/>
        <v>#REF!</v>
      </c>
      <c r="R113" s="287">
        <v>18</v>
      </c>
      <c r="S113" s="289" t="e">
        <f t="shared" si="77"/>
        <v>#REF!</v>
      </c>
    </row>
    <row r="114" spans="1:19" hidden="1" outlineLevel="1" x14ac:dyDescent="0.35">
      <c r="A114" s="110">
        <f t="shared" si="78"/>
        <v>9</v>
      </c>
      <c r="B114" s="111">
        <v>44896</v>
      </c>
      <c r="C114" s="269" t="e">
        <f>COUNTIF('BASE ELEC'!#REF!,"=1")</f>
        <v>#REF!</v>
      </c>
      <c r="D114" s="270" t="e">
        <f t="shared" si="74"/>
        <v>#REF!</v>
      </c>
      <c r="E114" s="278" t="e">
        <f>COUNTIF('BASE ELEC'!#REF!,"=2")</f>
        <v>#REF!</v>
      </c>
      <c r="F114" s="276" t="e">
        <f>+F113+E114</f>
        <v>#REF!</v>
      </c>
      <c r="G114" s="276">
        <f>+$P$89+$A$108</f>
        <v>3.6666666666666665</v>
      </c>
      <c r="H114" s="270" t="e">
        <f>F114/G114</f>
        <v>#REF!</v>
      </c>
      <c r="I114" s="278" t="e">
        <f>COUNTIF('BASE ELEC'!#REF!,"=3")</f>
        <v>#REF!</v>
      </c>
      <c r="J114" s="276" t="e">
        <f>+J113+I114</f>
        <v>#REF!</v>
      </c>
      <c r="K114" s="276">
        <f>$A$108*$Q$89</f>
        <v>2.5</v>
      </c>
      <c r="L114" s="270" t="e">
        <f t="shared" si="80"/>
        <v>#REF!</v>
      </c>
      <c r="M114" s="278" t="e">
        <f>COUNTIF('BASE ELEC'!#REF!,"=4")</f>
        <v>#REF!</v>
      </c>
      <c r="N114" s="282" t="e">
        <f t="shared" si="75"/>
        <v>#REF!</v>
      </c>
      <c r="O114" s="276">
        <f t="shared" si="81"/>
        <v>89.25</v>
      </c>
      <c r="P114" s="270" t="e">
        <f t="shared" si="76"/>
        <v>#REF!</v>
      </c>
      <c r="Q114" s="286" t="e">
        <f t="shared" si="82"/>
        <v>#REF!</v>
      </c>
      <c r="R114" s="287">
        <v>35</v>
      </c>
      <c r="S114" s="289" t="e">
        <f t="shared" si="77"/>
        <v>#REF!</v>
      </c>
    </row>
    <row r="115" spans="1:19" hidden="1" outlineLevel="1" x14ac:dyDescent="0.35">
      <c r="A115" s="110">
        <f t="shared" si="78"/>
        <v>10</v>
      </c>
      <c r="B115" s="111">
        <v>44927</v>
      </c>
      <c r="C115" s="269" t="e">
        <f>COUNTIF('BASE ELEC'!#REF!,"=1")</f>
        <v>#REF!</v>
      </c>
      <c r="D115" s="270" t="e">
        <f t="shared" si="74"/>
        <v>#REF!</v>
      </c>
      <c r="E115" s="278" t="e">
        <f>COUNTIF('BASE ELEC'!#REF!,"=2")</f>
        <v>#REF!</v>
      </c>
      <c r="F115" s="276" t="e">
        <f>+E115</f>
        <v>#REF!</v>
      </c>
      <c r="G115" s="276">
        <f>+$P$89</f>
        <v>0.66666666666666663</v>
      </c>
      <c r="H115" s="270" t="e">
        <f t="shared" si="79"/>
        <v>#REF!</v>
      </c>
      <c r="I115" s="278" t="e">
        <f>COUNTIF('BASE ELEC'!#REF!,"=3")</f>
        <v>#REF!</v>
      </c>
      <c r="J115" s="276" t="e">
        <f>+J114+I115</f>
        <v>#REF!</v>
      </c>
      <c r="K115" s="276">
        <f>$A$109*$Q$89</f>
        <v>3.3333333333333335</v>
      </c>
      <c r="L115" s="270" t="e">
        <f t="shared" si="80"/>
        <v>#REF!</v>
      </c>
      <c r="M115" s="278" t="e">
        <f>COUNTIF('BASE ELEC'!#REF!,"=4")</f>
        <v>#REF!</v>
      </c>
      <c r="N115" s="282" t="e">
        <f t="shared" si="75"/>
        <v>#REF!</v>
      </c>
      <c r="O115" s="276">
        <f t="shared" si="81"/>
        <v>99.166666666666657</v>
      </c>
      <c r="P115" s="270" t="e">
        <f t="shared" si="76"/>
        <v>#REF!</v>
      </c>
      <c r="Q115" s="286" t="e">
        <f t="shared" si="82"/>
        <v>#REF!</v>
      </c>
      <c r="R115" s="287">
        <v>33</v>
      </c>
      <c r="S115" s="289" t="e">
        <f t="shared" si="77"/>
        <v>#REF!</v>
      </c>
    </row>
    <row r="116" spans="1:19" hidden="1" outlineLevel="1" x14ac:dyDescent="0.35">
      <c r="A116" s="110">
        <f t="shared" si="78"/>
        <v>11</v>
      </c>
      <c r="B116" s="111">
        <v>44958</v>
      </c>
      <c r="C116" s="269" t="e">
        <f>COUNTIF('BASE ELEC'!#REF!,"=1")</f>
        <v>#REF!</v>
      </c>
      <c r="D116" s="270" t="e">
        <f t="shared" si="74"/>
        <v>#REF!</v>
      </c>
      <c r="E116" s="278" t="e">
        <f>COUNTIF('BASE ELEC'!#REF!,"=2")</f>
        <v>#REF!</v>
      </c>
      <c r="F116" s="276" t="e">
        <f>+F115+E116</f>
        <v>#REF!</v>
      </c>
      <c r="G116" s="276">
        <f>+P$89+$A$107</f>
        <v>2.6666666666666665</v>
      </c>
      <c r="H116" s="270" t="e">
        <f t="shared" si="79"/>
        <v>#REF!</v>
      </c>
      <c r="I116" s="278" t="e">
        <f>COUNTIF('BASE ELEC'!#REF!,"=3")</f>
        <v>#REF!</v>
      </c>
      <c r="J116" s="276" t="e">
        <f>+J115+I116</f>
        <v>#REF!</v>
      </c>
      <c r="K116" s="276">
        <f>$A$110*$Q$89</f>
        <v>4.166666666666667</v>
      </c>
      <c r="L116" s="270" t="e">
        <f t="shared" si="80"/>
        <v>#REF!</v>
      </c>
      <c r="M116" s="278" t="e">
        <f>COUNTIF('BASE ELEC'!#REF!,"=4")</f>
        <v>#REF!</v>
      </c>
      <c r="N116" s="282" t="e">
        <f t="shared" si="75"/>
        <v>#REF!</v>
      </c>
      <c r="O116" s="276">
        <f t="shared" si="81"/>
        <v>109.08333333333333</v>
      </c>
      <c r="P116" s="270" t="e">
        <f t="shared" si="76"/>
        <v>#REF!</v>
      </c>
      <c r="Q116" s="286" t="e">
        <f t="shared" si="82"/>
        <v>#REF!</v>
      </c>
      <c r="R116" s="287">
        <v>24</v>
      </c>
      <c r="S116" s="289" t="e">
        <f t="shared" si="77"/>
        <v>#REF!</v>
      </c>
    </row>
    <row r="117" spans="1:19" ht="15" hidden="1" outlineLevel="1" thickBot="1" x14ac:dyDescent="0.4">
      <c r="A117" s="347">
        <f t="shared" si="78"/>
        <v>12</v>
      </c>
      <c r="B117" s="348">
        <v>44986</v>
      </c>
      <c r="C117" s="332" t="e">
        <f>COUNTIF('BASE ELEC'!#REF!,"=1")</f>
        <v>#REF!</v>
      </c>
      <c r="D117" s="333" t="e">
        <f t="shared" si="74"/>
        <v>#REF!</v>
      </c>
      <c r="E117" s="336" t="e">
        <f>COUNTIF('BASE ELEC'!#REF!,"=2")</f>
        <v>#REF!</v>
      </c>
      <c r="F117" s="334" t="e">
        <f>+F116+E117</f>
        <v>#REF!</v>
      </c>
      <c r="G117" s="335">
        <f>+$P$89+$A$108</f>
        <v>3.6666666666666665</v>
      </c>
      <c r="H117" s="333" t="e">
        <f t="shared" si="79"/>
        <v>#REF!</v>
      </c>
      <c r="I117" s="336" t="e">
        <f>COUNTIF('BASE ELEC'!#REF!,"=3")</f>
        <v>#REF!</v>
      </c>
      <c r="J117" s="335" t="e">
        <f>+J116+I117</f>
        <v>#REF!</v>
      </c>
      <c r="K117" s="335">
        <f>$A$111*$Q$89</f>
        <v>5</v>
      </c>
      <c r="L117" s="333" t="e">
        <f t="shared" si="80"/>
        <v>#REF!</v>
      </c>
      <c r="M117" s="336" t="e">
        <f>COUNTIF('BASE ELEC'!#REF!,"=4")</f>
        <v>#REF!</v>
      </c>
      <c r="N117" s="338" t="e">
        <f t="shared" si="75"/>
        <v>#REF!</v>
      </c>
      <c r="O117" s="335">
        <f t="shared" si="81"/>
        <v>119</v>
      </c>
      <c r="P117" s="349" t="e">
        <f t="shared" si="76"/>
        <v>#REF!</v>
      </c>
      <c r="Q117" s="344" t="e">
        <f t="shared" si="82"/>
        <v>#REF!</v>
      </c>
      <c r="R117" s="341">
        <f>COUNTIF(CORRECTIVOS!B:F,CORRECTIVOS!A$6)</f>
        <v>0</v>
      </c>
      <c r="S117" s="345" t="e">
        <f t="shared" si="77"/>
        <v>#REF!</v>
      </c>
    </row>
    <row r="118" spans="1:19" ht="15" collapsed="1" thickBot="1" x14ac:dyDescent="0.4">
      <c r="A118" s="108">
        <v>1</v>
      </c>
      <c r="B118" s="402">
        <v>45962</v>
      </c>
      <c r="C118" s="366">
        <f>COUNTIF('BASE ELEC'!$T2:$T206,"=1")</f>
        <v>46</v>
      </c>
      <c r="D118" s="367">
        <f t="shared" ref="D118:D123" si="83">+C118/$O$89</f>
        <v>1</v>
      </c>
      <c r="E118" s="366">
        <f>COUNTIF('BASE ELEC'!$T2:$T206,"=2")</f>
        <v>0</v>
      </c>
      <c r="F118" s="368">
        <f>E118+F129</f>
        <v>1</v>
      </c>
      <c r="G118" s="369">
        <f>+P$89*2</f>
        <v>1.3333333333333333</v>
      </c>
      <c r="H118" s="367">
        <f>F119/G119</f>
        <v>0.75</v>
      </c>
      <c r="I118" s="461">
        <f>COUNTIF('BASE ELEC'!$T2:$T206,"=3")</f>
        <v>0</v>
      </c>
      <c r="J118" s="369">
        <f>I118+J129</f>
        <v>0</v>
      </c>
      <c r="K118" s="369">
        <f>+Q$89*2</f>
        <v>1.6666666666666667</v>
      </c>
      <c r="L118" s="367">
        <f>+J118/K118</f>
        <v>0</v>
      </c>
      <c r="M118" s="366">
        <f>COUNTIF('BASE ELEC'!$T2:$T206,"=4")</f>
        <v>10</v>
      </c>
      <c r="N118" s="370">
        <f>+M118+N129</f>
        <v>39</v>
      </c>
      <c r="O118" s="369">
        <f>+R$89*A118</f>
        <v>9.9166666666666661</v>
      </c>
      <c r="P118" s="373">
        <f>+N118/O118</f>
        <v>3.9327731092436977</v>
      </c>
      <c r="Q118" s="371">
        <f t="shared" ref="Q118:Q123" si="84">+I118+E118+C118+M118</f>
        <v>56</v>
      </c>
      <c r="R118" s="287">
        <f>COUNTIF(CORRECTIVOS!B:F,CORRECTIVOS!A$6)</f>
        <v>0</v>
      </c>
      <c r="S118" s="372">
        <f t="shared" ref="S118:S122" si="85">+R118+Q118</f>
        <v>56</v>
      </c>
    </row>
    <row r="119" spans="1:19" ht="15" thickBot="1" x14ac:dyDescent="0.4">
      <c r="A119" s="110">
        <f>+A118+1</f>
        <v>2</v>
      </c>
      <c r="B119" s="402">
        <v>45992</v>
      </c>
      <c r="C119" s="366">
        <f>COUNTIF('BASE ELEC'!$U2:$U207,"=1")</f>
        <v>46</v>
      </c>
      <c r="D119" s="367">
        <f t="shared" si="83"/>
        <v>1</v>
      </c>
      <c r="E119" s="366">
        <f>COUNTIF('BASE ELEC'!$U3:$U207,"=2")</f>
        <v>0</v>
      </c>
      <c r="F119" s="368">
        <f t="shared" ref="F119:F124" si="86">E119+F118</f>
        <v>1</v>
      </c>
      <c r="G119" s="369">
        <f t="shared" ref="G119" si="87">+P$89*A119</f>
        <v>1.3333333333333333</v>
      </c>
      <c r="H119" s="367">
        <f t="shared" ref="H119:H122" si="88">F119/G119</f>
        <v>0.75</v>
      </c>
      <c r="I119" s="461">
        <f>COUNTIF('BASE ELEC'!$U3:$U207,"=3")</f>
        <v>0</v>
      </c>
      <c r="J119" s="369">
        <f t="shared" ref="J119" si="89">I119+J118</f>
        <v>0</v>
      </c>
      <c r="K119" s="369">
        <f t="shared" ref="K119:K123" si="90">+Q$89*A119</f>
        <v>1.6666666666666667</v>
      </c>
      <c r="L119" s="367">
        <f t="shared" ref="L119" si="91">+J119/K119</f>
        <v>0</v>
      </c>
      <c r="M119" s="366">
        <f>COUNTIF('BASE ELEC'!$U3:$U207,"=4")</f>
        <v>12</v>
      </c>
      <c r="N119" s="370">
        <f t="shared" ref="N119" si="92">+N118+M119</f>
        <v>51</v>
      </c>
      <c r="O119" s="369">
        <f>+R$89*A119</f>
        <v>19.833333333333332</v>
      </c>
      <c r="P119" s="373">
        <f t="shared" ref="P119:P123" si="93">+N119/O119</f>
        <v>2.5714285714285716</v>
      </c>
      <c r="Q119" s="371">
        <f>+M119+I119+E119+C119</f>
        <v>58</v>
      </c>
      <c r="R119" s="287">
        <v>30</v>
      </c>
      <c r="S119" s="372">
        <f t="shared" si="85"/>
        <v>88</v>
      </c>
    </row>
    <row r="120" spans="1:19" ht="15" thickBot="1" x14ac:dyDescent="0.4">
      <c r="A120" s="110">
        <f t="shared" ref="A120:A128" si="94">+A119+1</f>
        <v>3</v>
      </c>
      <c r="B120" s="402">
        <v>46023</v>
      </c>
      <c r="C120" s="366">
        <f>COUNTIF('BASE ELEC'!$V2:$V208,"=1")</f>
        <v>44</v>
      </c>
      <c r="D120" s="367">
        <f t="shared" ref="D120" si="95">+C120/$O$89</f>
        <v>0.95652173913043481</v>
      </c>
      <c r="E120" s="461">
        <f>COUNTIF('BASE ELEC'!$V2:$V208,"=2")</f>
        <v>2</v>
      </c>
      <c r="F120" s="368">
        <f t="shared" ref="F120" si="96">E120+F119</f>
        <v>3</v>
      </c>
      <c r="G120" s="369">
        <f t="shared" ref="G120" si="97">+P$89*A120</f>
        <v>2</v>
      </c>
      <c r="H120" s="367">
        <f t="shared" ref="H120" si="98">F120/G120</f>
        <v>1.5</v>
      </c>
      <c r="I120" s="461">
        <f>COUNTIF('BASE ELEC'!$V2:$V208,"=3")</f>
        <v>0</v>
      </c>
      <c r="J120" s="369">
        <f t="shared" ref="J120" si="99">I120+J119</f>
        <v>0</v>
      </c>
      <c r="K120" s="369">
        <f t="shared" ref="K120" si="100">+Q$89*A120</f>
        <v>2.5</v>
      </c>
      <c r="L120" s="367">
        <f t="shared" ref="L120" si="101">+J120/K120</f>
        <v>0</v>
      </c>
      <c r="M120" s="366">
        <f>COUNTIF('BASE ELEC'!$V2:$V208,"=4")</f>
        <v>8</v>
      </c>
      <c r="N120" s="370">
        <f t="shared" ref="N120" si="102">+N119+M120</f>
        <v>59</v>
      </c>
      <c r="O120" s="369">
        <f>+R$89*A120</f>
        <v>29.75</v>
      </c>
      <c r="P120" s="373">
        <f t="shared" ref="P120" si="103">+N120/O120</f>
        <v>1.9831932773109244</v>
      </c>
      <c r="Q120" s="371">
        <f>+M120+I120+E120+C120</f>
        <v>54</v>
      </c>
      <c r="R120" s="287">
        <v>31</v>
      </c>
      <c r="S120" s="372">
        <f t="shared" ref="S120" si="104">+R120+Q120</f>
        <v>85</v>
      </c>
    </row>
    <row r="121" spans="1:19" ht="15" thickBot="1" x14ac:dyDescent="0.4">
      <c r="A121" s="110">
        <f t="shared" si="94"/>
        <v>4</v>
      </c>
      <c r="B121" s="402">
        <v>46054</v>
      </c>
      <c r="C121" s="366">
        <f>COUNTIF('BASE ELEC'!$W3:$W209,"=1")</f>
        <v>0</v>
      </c>
      <c r="D121" s="367">
        <f t="shared" ref="D121" si="105">+C121/$O$89</f>
        <v>0</v>
      </c>
      <c r="E121" s="461">
        <f>COUNTIF('BASE ELEC'!$W3:$W209,"=2")</f>
        <v>0</v>
      </c>
      <c r="F121" s="368">
        <f>E121+F120</f>
        <v>3</v>
      </c>
      <c r="G121" s="369">
        <f>+P$89*A121</f>
        <v>2.6666666666666665</v>
      </c>
      <c r="H121" s="367">
        <f t="shared" ref="H121" si="106">F121/G121</f>
        <v>1.125</v>
      </c>
      <c r="I121" s="461">
        <f>COUNTIF('BASE ELEC'!$W3:$W209,"=3")</f>
        <v>0</v>
      </c>
      <c r="J121" s="369">
        <f>I121+J120</f>
        <v>0</v>
      </c>
      <c r="K121" s="369">
        <f>+Q$89*A121</f>
        <v>3.3333333333333335</v>
      </c>
      <c r="L121" s="367">
        <f t="shared" ref="L121" si="107">+J121/K121</f>
        <v>0</v>
      </c>
      <c r="M121" s="366">
        <f>COUNTIF('BASE ELEC'!$W3:$W209,"=4")</f>
        <v>0</v>
      </c>
      <c r="N121" s="370">
        <f>+N120+M121</f>
        <v>59</v>
      </c>
      <c r="O121" s="369">
        <f>+R89*A121</f>
        <v>39.666666666666664</v>
      </c>
      <c r="P121" s="373">
        <f t="shared" ref="P121" si="108">+N121/O121</f>
        <v>1.4873949579831933</v>
      </c>
      <c r="Q121" s="371">
        <f>+M121+I121+E121+C121</f>
        <v>0</v>
      </c>
      <c r="R121" s="287">
        <v>32</v>
      </c>
      <c r="S121" s="372">
        <f t="shared" ref="S121" si="109">+R121+Q121</f>
        <v>32</v>
      </c>
    </row>
    <row r="122" spans="1:19" ht="15" thickBot="1" x14ac:dyDescent="0.4">
      <c r="A122" s="110">
        <f>+A121+1</f>
        <v>5</v>
      </c>
      <c r="B122" s="402">
        <v>46082</v>
      </c>
      <c r="C122" s="366"/>
      <c r="D122" s="367">
        <f t="shared" si="83"/>
        <v>0</v>
      </c>
      <c r="E122" s="461"/>
      <c r="F122" s="368">
        <f t="shared" si="86"/>
        <v>3</v>
      </c>
      <c r="G122" s="369">
        <f t="shared" ref="G122:G125" si="110">+P$89*A122</f>
        <v>3.333333333333333</v>
      </c>
      <c r="H122" s="367">
        <f t="shared" si="88"/>
        <v>0.90000000000000013</v>
      </c>
      <c r="I122" s="461"/>
      <c r="J122" s="369">
        <f>I122+J121</f>
        <v>0</v>
      </c>
      <c r="K122" s="369">
        <f t="shared" si="90"/>
        <v>4.166666666666667</v>
      </c>
      <c r="L122" s="367">
        <f t="shared" ref="L122:L125" si="111">+J122/K122</f>
        <v>0</v>
      </c>
      <c r="M122" s="366"/>
      <c r="N122" s="370">
        <f>+N121+M122</f>
        <v>59</v>
      </c>
      <c r="O122" s="369">
        <f>+R$89*A122</f>
        <v>49.583333333333329</v>
      </c>
      <c r="P122" s="373">
        <f t="shared" si="93"/>
        <v>1.1899159663865548</v>
      </c>
      <c r="Q122" s="371"/>
      <c r="R122" s="287">
        <f>COUNTIF(CORRECTIVOS!B:F,CORRECTIVOS!A$6)</f>
        <v>0</v>
      </c>
      <c r="S122" s="372">
        <f t="shared" si="85"/>
        <v>0</v>
      </c>
    </row>
    <row r="123" spans="1:19" ht="15" thickBot="1" x14ac:dyDescent="0.4">
      <c r="A123" s="110">
        <f t="shared" si="94"/>
        <v>6</v>
      </c>
      <c r="B123" s="402">
        <v>45748</v>
      </c>
      <c r="C123" s="366">
        <f>COUNTIF('BASE ELEC'!$M2:$M210,"=1")</f>
        <v>46</v>
      </c>
      <c r="D123" s="367">
        <f t="shared" si="83"/>
        <v>1</v>
      </c>
      <c r="E123" s="366">
        <f>COUNTIF('BASE ELEC'!$M2:$M210,"=2")</f>
        <v>2</v>
      </c>
      <c r="F123" s="368">
        <f t="shared" si="86"/>
        <v>5</v>
      </c>
      <c r="G123" s="369">
        <f t="shared" si="110"/>
        <v>4</v>
      </c>
      <c r="H123" s="367">
        <f>F123/G123</f>
        <v>1.25</v>
      </c>
      <c r="I123" s="366">
        <f>COUNTIF('BASE ELEC'!$M2:$M210,"=3")</f>
        <v>0</v>
      </c>
      <c r="J123" s="369">
        <f>I123</f>
        <v>0</v>
      </c>
      <c r="K123" s="369">
        <f t="shared" si="90"/>
        <v>5</v>
      </c>
      <c r="L123" s="367">
        <f t="shared" si="111"/>
        <v>0</v>
      </c>
      <c r="M123" s="461">
        <f>COUNTIF('BASE ELEC'!$M2:$M210,"=4")</f>
        <v>7</v>
      </c>
      <c r="N123" s="370">
        <f>+M123</f>
        <v>7</v>
      </c>
      <c r="O123" s="369">
        <f>+R$89*A123</f>
        <v>59.5</v>
      </c>
      <c r="P123" s="373">
        <f t="shared" si="93"/>
        <v>0.11764705882352941</v>
      </c>
      <c r="Q123" s="371">
        <f t="shared" si="84"/>
        <v>55</v>
      </c>
      <c r="R123" s="287">
        <f>COUNTIF(CORRECTIVOS!B:F,CORRECTIVOS!A$6)</f>
        <v>0</v>
      </c>
      <c r="S123" s="372">
        <f t="shared" ref="S123" si="112">+R123+Q123</f>
        <v>55</v>
      </c>
    </row>
    <row r="124" spans="1:19" ht="15" thickBot="1" x14ac:dyDescent="0.4">
      <c r="A124" s="110">
        <f t="shared" si="94"/>
        <v>7</v>
      </c>
      <c r="B124" s="402">
        <v>45778</v>
      </c>
      <c r="C124" s="366">
        <f>COUNTIF('BASE ELEC'!$N2:$N211,"=1")</f>
        <v>46</v>
      </c>
      <c r="D124" s="367">
        <f t="shared" ref="D124" si="113">+C124/$O$89</f>
        <v>1</v>
      </c>
      <c r="E124" s="366">
        <f>COUNTIF('BASE ELEC'!$N3:$N211,"=2")</f>
        <v>0</v>
      </c>
      <c r="F124" s="368">
        <f t="shared" si="86"/>
        <v>5</v>
      </c>
      <c r="G124" s="369">
        <f t="shared" si="110"/>
        <v>4.6666666666666661</v>
      </c>
      <c r="H124" s="367">
        <f t="shared" ref="H124" si="114">F124/G124</f>
        <v>1.0714285714285716</v>
      </c>
      <c r="I124" s="366">
        <f>COUNTIF('BASE ELEC'!$N3:$N211,"=3")</f>
        <v>2</v>
      </c>
      <c r="J124" s="369">
        <f>I124+J123</f>
        <v>2</v>
      </c>
      <c r="K124" s="369">
        <f t="shared" ref="K124" si="115">+Q$89*A124</f>
        <v>5.8333333333333339</v>
      </c>
      <c r="L124" s="367">
        <f t="shared" si="111"/>
        <v>0.3428571428571428</v>
      </c>
      <c r="M124" s="461">
        <f>COUNTIF('BASE ELEC'!$N3:$N211,"=4")</f>
        <v>1</v>
      </c>
      <c r="N124" s="370">
        <f t="shared" ref="N124:N128" si="116">+N123+M124</f>
        <v>8</v>
      </c>
      <c r="O124" s="369">
        <f>+R$89*A124</f>
        <v>69.416666666666657</v>
      </c>
      <c r="P124" s="373">
        <f t="shared" ref="P124" si="117">+N124/O124</f>
        <v>0.11524609843937576</v>
      </c>
      <c r="Q124" s="371">
        <f t="shared" ref="Q124" si="118">+I124+E124+C124+M124</f>
        <v>49</v>
      </c>
      <c r="R124" s="287">
        <f>COUNTIF(CORRECTIVOS!B:F,CORRECTIVOS!A$6)</f>
        <v>0</v>
      </c>
      <c r="S124" s="372">
        <f t="shared" ref="S124" si="119">+R124+Q124</f>
        <v>49</v>
      </c>
    </row>
    <row r="125" spans="1:19" ht="15" thickBot="1" x14ac:dyDescent="0.4">
      <c r="A125" s="110">
        <f t="shared" si="94"/>
        <v>8</v>
      </c>
      <c r="B125" s="402">
        <v>45809</v>
      </c>
      <c r="C125" s="366">
        <f>COUNTIF('BASE ELEC'!$O2:$O212,"=1")</f>
        <v>46</v>
      </c>
      <c r="D125" s="367">
        <f t="shared" ref="D125" si="120">+C125/$O$89</f>
        <v>1</v>
      </c>
      <c r="E125" s="366">
        <f>COUNTIF('BASE ELEC'!$O2:$O212,"=2")</f>
        <v>0</v>
      </c>
      <c r="F125" s="368">
        <f>E125+F124</f>
        <v>5</v>
      </c>
      <c r="G125" s="369">
        <f t="shared" si="110"/>
        <v>5.333333333333333</v>
      </c>
      <c r="H125" s="367">
        <f t="shared" ref="H125" si="121">F125/G125</f>
        <v>0.9375</v>
      </c>
      <c r="I125" s="366">
        <f>COUNTIF('BASE ELEC'!$O4:$O212,"=3")</f>
        <v>0</v>
      </c>
      <c r="J125" s="369">
        <f>I125+J124</f>
        <v>2</v>
      </c>
      <c r="K125" s="369">
        <f t="shared" ref="K125" si="122">+Q$89*A125</f>
        <v>6.666666666666667</v>
      </c>
      <c r="L125" s="367">
        <f t="shared" si="111"/>
        <v>0.3</v>
      </c>
      <c r="M125" s="461">
        <f>COUNTIF('BASE ELEC'!$O4:$O212,"=4")</f>
        <v>1</v>
      </c>
      <c r="N125" s="370">
        <f t="shared" si="116"/>
        <v>9</v>
      </c>
      <c r="O125" s="369">
        <f>+R$89*A125</f>
        <v>79.333333333333329</v>
      </c>
      <c r="P125" s="373">
        <f t="shared" ref="P125" si="123">+N125/O125</f>
        <v>0.11344537815126052</v>
      </c>
      <c r="Q125" s="371">
        <f t="shared" ref="Q125" si="124">+I125+E125+C125+M125</f>
        <v>47</v>
      </c>
      <c r="R125" s="287">
        <f>COUNTIF(CORRECTIVOS!B:F,CORRECTIVOS!A$6)</f>
        <v>0</v>
      </c>
      <c r="S125" s="372">
        <f t="shared" ref="S125" si="125">+R125+Q125</f>
        <v>47</v>
      </c>
    </row>
    <row r="126" spans="1:19" ht="15" thickBot="1" x14ac:dyDescent="0.4">
      <c r="A126" s="110">
        <f t="shared" si="94"/>
        <v>9</v>
      </c>
      <c r="B126" s="402">
        <v>45839</v>
      </c>
      <c r="C126" s="366">
        <f>COUNTIF('BASE ELEC'!$P2:$P213,"=1")</f>
        <v>46</v>
      </c>
      <c r="D126" s="367">
        <f>+C126/$O$89</f>
        <v>1</v>
      </c>
      <c r="E126" s="366">
        <f>COUNTIF('BASE ELEC'!$P3:$P213,"=2")</f>
        <v>2</v>
      </c>
      <c r="F126" s="368">
        <f>E126</f>
        <v>2</v>
      </c>
      <c r="G126" s="369">
        <f t="shared" ref="G126" si="126">+P$89*A126</f>
        <v>6</v>
      </c>
      <c r="H126" s="367">
        <f t="shared" ref="H126" si="127">F126/G126</f>
        <v>0.33333333333333331</v>
      </c>
      <c r="I126" s="366">
        <f>COUNTIF('BASE ELEC'!$P5:$P213,"=3")</f>
        <v>1</v>
      </c>
      <c r="J126" s="369">
        <f>I126+J125</f>
        <v>3</v>
      </c>
      <c r="K126" s="369">
        <f t="shared" ref="K126" si="128">+Q$89*A126</f>
        <v>7.5</v>
      </c>
      <c r="L126" s="367">
        <f t="shared" ref="L126" si="129">+J126/K126</f>
        <v>0.4</v>
      </c>
      <c r="M126" s="461">
        <f>COUNTIF('BASE ELEC'!$P5:$P213,"=4")</f>
        <v>6</v>
      </c>
      <c r="N126" s="370">
        <f t="shared" si="116"/>
        <v>15</v>
      </c>
      <c r="O126" s="369">
        <f>+R$89*A126</f>
        <v>89.25</v>
      </c>
      <c r="P126" s="373">
        <f t="shared" ref="P126" si="130">+N126/O126</f>
        <v>0.16806722689075632</v>
      </c>
      <c r="Q126" s="371">
        <f>+I126+E126+C126+M126</f>
        <v>55</v>
      </c>
      <c r="R126" s="287">
        <f>COUNTIF(CORRECTIVOS!B:F,CORRECTIVOS!A$6)</f>
        <v>0</v>
      </c>
      <c r="S126" s="372">
        <f t="shared" ref="S126" si="131">+R126+Q126</f>
        <v>55</v>
      </c>
    </row>
    <row r="127" spans="1:19" ht="15" thickBot="1" x14ac:dyDescent="0.4">
      <c r="A127" s="110">
        <f t="shared" si="94"/>
        <v>10</v>
      </c>
      <c r="B127" s="402">
        <v>45870</v>
      </c>
      <c r="C127" s="366">
        <f>COUNTIF('BASE ELEC'!$Q2:$Q214,"=1")</f>
        <v>46</v>
      </c>
      <c r="D127" s="367">
        <f>+C127/$O$89</f>
        <v>1</v>
      </c>
      <c r="E127" s="366">
        <f>COUNTIF('BASE ELEC'!$Q4:$Q214,"=2")</f>
        <v>0</v>
      </c>
      <c r="F127" s="368">
        <f>E127+F126</f>
        <v>2</v>
      </c>
      <c r="G127" s="369">
        <f>+P$89*2</f>
        <v>1.3333333333333333</v>
      </c>
      <c r="H127" s="367">
        <f>F127/G127</f>
        <v>1.5</v>
      </c>
      <c r="I127" s="366">
        <f>COUNTIF('BASE ELEC'!$Q6:$Q214,"=3")</f>
        <v>0</v>
      </c>
      <c r="J127" s="369">
        <f>I127+J126</f>
        <v>3</v>
      </c>
      <c r="K127" s="369">
        <f>+Q$89*5</f>
        <v>4.166666666666667</v>
      </c>
      <c r="L127" s="367">
        <f>+J127/K127</f>
        <v>0.72</v>
      </c>
      <c r="M127" s="461">
        <f>COUNTIF('BASE ELEC'!$Q6:$Q214,"=4")</f>
        <v>10</v>
      </c>
      <c r="N127" s="370">
        <f t="shared" si="116"/>
        <v>25</v>
      </c>
      <c r="O127" s="369">
        <f>+R$89*5</f>
        <v>49.583333333333329</v>
      </c>
      <c r="P127" s="373">
        <f>+N127/O127</f>
        <v>0.504201680672269</v>
      </c>
      <c r="Q127" s="371">
        <f>+I127+E127+C127+M127</f>
        <v>56</v>
      </c>
      <c r="R127" s="287">
        <f>COUNTIF(CORRECTIVOS!B:F,CORRECTIVOS!A$6)</f>
        <v>0</v>
      </c>
      <c r="S127" s="372">
        <f t="shared" ref="S127" si="132">+R127+Q127</f>
        <v>56</v>
      </c>
    </row>
    <row r="128" spans="1:19" ht="15" thickBot="1" x14ac:dyDescent="0.4">
      <c r="A128" s="110">
        <f t="shared" si="94"/>
        <v>11</v>
      </c>
      <c r="B128" s="402">
        <v>45901</v>
      </c>
      <c r="C128" s="366">
        <f>COUNTIF('BASE ELEC'!$R2:$R215,"=1")</f>
        <v>46</v>
      </c>
      <c r="D128" s="367">
        <f>+C128/$O$89</f>
        <v>1</v>
      </c>
      <c r="E128" s="366">
        <f>COUNTIF('BASE ELEC'!$R5:$R215,"=2")</f>
        <v>0</v>
      </c>
      <c r="F128" s="368">
        <f>E128+F127</f>
        <v>2</v>
      </c>
      <c r="G128" s="369">
        <f>+P$89*2</f>
        <v>1.3333333333333333</v>
      </c>
      <c r="H128" s="367">
        <f>F128/G128</f>
        <v>1.5</v>
      </c>
      <c r="I128" s="366">
        <f>COUNTIF('BASE ELEC'!$R7:$R215,"=3")</f>
        <v>2</v>
      </c>
      <c r="J128" s="369">
        <f>I128+J127</f>
        <v>5</v>
      </c>
      <c r="K128" s="369">
        <f>+Q$89*5</f>
        <v>4.166666666666667</v>
      </c>
      <c r="L128" s="367">
        <f>+J128/K128</f>
        <v>1.2</v>
      </c>
      <c r="M128" s="461">
        <f>COUNTIF('BASE ELEC'!$R7:$R215,"=4")</f>
        <v>3</v>
      </c>
      <c r="N128" s="370">
        <f t="shared" si="116"/>
        <v>28</v>
      </c>
      <c r="O128" s="369">
        <f>+R$89*A128</f>
        <v>109.08333333333333</v>
      </c>
      <c r="P128" s="373">
        <f>+N128/O128</f>
        <v>0.25668449197860965</v>
      </c>
      <c r="Q128" s="371">
        <f>+I128+E128+C128+M128</f>
        <v>51</v>
      </c>
      <c r="R128" s="287">
        <f>COUNTIF(CORRECTIVOS!B:F,CORRECTIVOS!A$6)</f>
        <v>0</v>
      </c>
      <c r="S128" s="372">
        <f t="shared" ref="S128" si="133">+R128+Q128</f>
        <v>51</v>
      </c>
    </row>
    <row r="129" spans="1:19" ht="15" thickBot="1" x14ac:dyDescent="0.4">
      <c r="A129" s="112">
        <f>+A128+1</f>
        <v>12</v>
      </c>
      <c r="B129" s="402">
        <v>45931</v>
      </c>
      <c r="C129" s="366">
        <f>COUNTIF('BASE ELEC'!$S2:$S216,"=1")</f>
        <v>46</v>
      </c>
      <c r="D129" s="367">
        <f>+C129/$O$89</f>
        <v>1</v>
      </c>
      <c r="E129" s="366">
        <f>COUNTIF('BASE ELEC'!$S2:$S216,"=2")</f>
        <v>1</v>
      </c>
      <c r="F129" s="368">
        <f>E129</f>
        <v>1</v>
      </c>
      <c r="G129" s="369">
        <f>+P$89</f>
        <v>0.66666666666666663</v>
      </c>
      <c r="H129" s="367">
        <f>F129/G129</f>
        <v>1.5</v>
      </c>
      <c r="I129" s="461">
        <f>COUNTIF('BASE ELEC'!$S8:$S216,"=3")</f>
        <v>0</v>
      </c>
      <c r="J129" s="369">
        <f>I129</f>
        <v>0</v>
      </c>
      <c r="K129" s="369">
        <f>+Q$89</f>
        <v>0.83333333333333337</v>
      </c>
      <c r="L129" s="367">
        <f>+J129/K129</f>
        <v>0</v>
      </c>
      <c r="M129" s="461">
        <f>COUNTIF('BASE ELEC'!$S8:$S216,"=4")</f>
        <v>1</v>
      </c>
      <c r="N129" s="370">
        <f>+N128+M129</f>
        <v>29</v>
      </c>
      <c r="O129" s="369">
        <f>+R$89*12</f>
        <v>119</v>
      </c>
      <c r="P129" s="373">
        <f>+N129/O129</f>
        <v>0.24369747899159663</v>
      </c>
      <c r="Q129" s="371">
        <f>+I129+E129+C129+M129</f>
        <v>48</v>
      </c>
      <c r="R129" s="287">
        <f>COUNTIF(CORRECTIVOS!B:F,CORRECTIVOS!A$6)</f>
        <v>0</v>
      </c>
      <c r="S129" s="372">
        <f t="shared" ref="S129" si="134">+R129+Q129</f>
        <v>48</v>
      </c>
    </row>
    <row r="131" spans="1:19" ht="15" thickBot="1" x14ac:dyDescent="0.4"/>
    <row r="132" spans="1:19" x14ac:dyDescent="0.35">
      <c r="A132" s="573" t="s">
        <v>1201</v>
      </c>
      <c r="B132" s="574"/>
      <c r="C132" s="574"/>
      <c r="D132" s="212">
        <f>+H171</f>
        <v>0.94285714285714273</v>
      </c>
      <c r="E132" s="125"/>
      <c r="F132" s="125"/>
      <c r="G132" t="s">
        <v>1565</v>
      </c>
      <c r="H132" t="s">
        <v>1567</v>
      </c>
      <c r="I132" t="s">
        <v>1566</v>
      </c>
      <c r="J132" s="125"/>
      <c r="K132" s="125"/>
      <c r="L132" s="126"/>
      <c r="M132" s="126"/>
      <c r="N132" s="100"/>
      <c r="O132" s="58"/>
      <c r="P132" s="58"/>
      <c r="Q132" s="58"/>
      <c r="R132" s="58"/>
      <c r="S132" s="58"/>
    </row>
    <row r="133" spans="1:19" ht="15" thickBot="1" x14ac:dyDescent="0.4">
      <c r="A133" s="145" t="s">
        <v>1195</v>
      </c>
      <c r="B133" s="146"/>
      <c r="C133" s="146"/>
      <c r="D133" s="147">
        <v>0.1</v>
      </c>
      <c r="H133">
        <v>14</v>
      </c>
      <c r="I133">
        <f>+H133/6</f>
        <v>2.3333333333333335</v>
      </c>
      <c r="L133" s="77"/>
      <c r="M133" s="77"/>
      <c r="N133" s="124"/>
      <c r="O133" s="101"/>
      <c r="P133" s="101"/>
      <c r="Q133" s="101"/>
      <c r="R133" s="101"/>
      <c r="S133" s="101"/>
    </row>
    <row r="134" spans="1:19" ht="15" thickBot="1" x14ac:dyDescent="0.4">
      <c r="A134" s="127"/>
      <c r="L134" s="77"/>
      <c r="M134" s="77"/>
      <c r="N134" s="597"/>
      <c r="O134" s="597"/>
      <c r="P134" s="597"/>
      <c r="Q134" s="597"/>
      <c r="R134" s="597"/>
      <c r="S134" s="101"/>
    </row>
    <row r="135" spans="1:19" ht="15" thickBot="1" x14ac:dyDescent="0.4">
      <c r="A135" s="139" t="s">
        <v>1155</v>
      </c>
      <c r="B135" s="140"/>
      <c r="C135" s="140"/>
      <c r="D135" s="140"/>
      <c r="E135" s="140"/>
      <c r="F135" s="140"/>
      <c r="G135" s="140"/>
      <c r="H135" s="140"/>
      <c r="I135" s="140"/>
      <c r="J135" s="140"/>
      <c r="K135" s="141"/>
      <c r="L135" s="52"/>
      <c r="M135" s="77"/>
      <c r="P135" s="52"/>
    </row>
    <row r="136" spans="1:19" x14ac:dyDescent="0.35">
      <c r="A136" s="598" t="s">
        <v>771</v>
      </c>
      <c r="B136" s="600" t="s">
        <v>549</v>
      </c>
      <c r="C136" s="584" t="s">
        <v>1156</v>
      </c>
      <c r="D136" s="585"/>
      <c r="E136" s="585"/>
      <c r="F136" s="585"/>
      <c r="G136" s="585"/>
      <c r="H136" s="585"/>
      <c r="I136" s="137" t="s">
        <v>775</v>
      </c>
      <c r="J136" s="137"/>
      <c r="K136" s="138"/>
      <c r="L136" s="2"/>
      <c r="M136" s="77"/>
      <c r="P136" s="2"/>
    </row>
    <row r="137" spans="1:19" ht="15" thickBot="1" x14ac:dyDescent="0.4">
      <c r="A137" s="599"/>
      <c r="B137" s="601"/>
      <c r="C137" s="121" t="s">
        <v>1479</v>
      </c>
      <c r="D137" s="19" t="s">
        <v>1480</v>
      </c>
      <c r="E137" s="69" t="s">
        <v>772</v>
      </c>
      <c r="F137" s="71" t="s">
        <v>768</v>
      </c>
      <c r="G137" s="71" t="s">
        <v>769</v>
      </c>
      <c r="H137" s="71" t="s">
        <v>770</v>
      </c>
      <c r="I137" s="71" t="s">
        <v>773</v>
      </c>
      <c r="J137" s="71" t="s">
        <v>1001</v>
      </c>
      <c r="K137" s="19" t="s">
        <v>774</v>
      </c>
      <c r="L137" s="2"/>
      <c r="N137" s="2"/>
      <c r="O137" s="2"/>
      <c r="P137" s="2"/>
    </row>
    <row r="138" spans="1:19" hidden="1" outlineLevel="1" x14ac:dyDescent="0.35">
      <c r="A138" s="246">
        <v>1</v>
      </c>
      <c r="B138" s="247">
        <v>44287</v>
      </c>
      <c r="C138" s="298">
        <v>2</v>
      </c>
      <c r="D138" s="299">
        <v>0</v>
      </c>
      <c r="E138" s="251">
        <f>+C138+D138</f>
        <v>2</v>
      </c>
      <c r="F138" s="249">
        <f>+E138</f>
        <v>2</v>
      </c>
      <c r="G138" s="300">
        <v>2</v>
      </c>
      <c r="H138" s="301">
        <f>F138/G138</f>
        <v>1</v>
      </c>
      <c r="I138" s="263">
        <f t="shared" ref="I138:I149" si="135">+E138</f>
        <v>2</v>
      </c>
      <c r="J138" s="302">
        <v>2</v>
      </c>
      <c r="K138" s="255">
        <f>+J138+I138</f>
        <v>4</v>
      </c>
      <c r="L138" s="106"/>
      <c r="P138" s="106"/>
    </row>
    <row r="139" spans="1:19" hidden="1" outlineLevel="1" x14ac:dyDescent="0.35">
      <c r="A139" s="257">
        <f>+A138+1</f>
        <v>2</v>
      </c>
      <c r="B139" s="258">
        <v>44317</v>
      </c>
      <c r="C139" s="303">
        <v>2</v>
      </c>
      <c r="D139" s="304">
        <v>0</v>
      </c>
      <c r="E139" s="210">
        <f t="shared" ref="E139:E149" si="136">+C139+D139</f>
        <v>2</v>
      </c>
      <c r="F139" s="209">
        <f>+F138+E139</f>
        <v>4</v>
      </c>
      <c r="G139" s="305">
        <f>+A139*G$138</f>
        <v>4</v>
      </c>
      <c r="H139" s="203">
        <f>F139/G139</f>
        <v>1</v>
      </c>
      <c r="I139" s="209">
        <f t="shared" si="135"/>
        <v>2</v>
      </c>
      <c r="J139" s="302">
        <v>1</v>
      </c>
      <c r="K139" s="266">
        <f t="shared" ref="K139:K149" si="137">+J139+I139</f>
        <v>3</v>
      </c>
      <c r="L139" s="106"/>
      <c r="P139" s="106"/>
    </row>
    <row r="140" spans="1:19" hidden="1" outlineLevel="1" x14ac:dyDescent="0.35">
      <c r="A140" s="257">
        <f t="shared" ref="A140:A149" si="138">+A139+1</f>
        <v>3</v>
      </c>
      <c r="B140" s="258">
        <v>44348</v>
      </c>
      <c r="C140" s="303">
        <v>0</v>
      </c>
      <c r="D140" s="304">
        <v>0</v>
      </c>
      <c r="E140" s="210">
        <f t="shared" si="136"/>
        <v>0</v>
      </c>
      <c r="F140" s="209">
        <f t="shared" ref="F140:F149" si="139">+F139+E140</f>
        <v>4</v>
      </c>
      <c r="G140" s="305">
        <f t="shared" ref="G140:G149" si="140">+A140*G$138</f>
        <v>6</v>
      </c>
      <c r="H140" s="203">
        <f t="shared" ref="H140:H149" si="141">F140/G140</f>
        <v>0.66666666666666663</v>
      </c>
      <c r="I140" s="209">
        <f t="shared" si="135"/>
        <v>0</v>
      </c>
      <c r="J140" s="302">
        <v>1</v>
      </c>
      <c r="K140" s="266">
        <f t="shared" si="137"/>
        <v>1</v>
      </c>
      <c r="L140" s="106"/>
      <c r="P140" s="106"/>
    </row>
    <row r="141" spans="1:19" hidden="1" outlineLevel="1" x14ac:dyDescent="0.35">
      <c r="A141" s="257">
        <f t="shared" si="138"/>
        <v>4</v>
      </c>
      <c r="B141" s="258">
        <v>44378</v>
      </c>
      <c r="C141" s="303">
        <v>0</v>
      </c>
      <c r="D141" s="304">
        <v>5</v>
      </c>
      <c r="E141" s="210">
        <f t="shared" si="136"/>
        <v>5</v>
      </c>
      <c r="F141" s="209">
        <f t="shared" si="139"/>
        <v>9</v>
      </c>
      <c r="G141" s="305">
        <f t="shared" si="140"/>
        <v>8</v>
      </c>
      <c r="H141" s="203">
        <f t="shared" si="141"/>
        <v>1.125</v>
      </c>
      <c r="I141" s="209">
        <f t="shared" si="135"/>
        <v>5</v>
      </c>
      <c r="J141" s="302">
        <v>0</v>
      </c>
      <c r="K141" s="266">
        <f t="shared" si="137"/>
        <v>5</v>
      </c>
      <c r="L141" s="106"/>
      <c r="P141" s="106"/>
    </row>
    <row r="142" spans="1:19" hidden="1" outlineLevel="1" x14ac:dyDescent="0.35">
      <c r="A142" s="257">
        <f t="shared" si="138"/>
        <v>5</v>
      </c>
      <c r="B142" s="258">
        <v>44409</v>
      </c>
      <c r="C142" s="303">
        <v>0</v>
      </c>
      <c r="D142" s="304">
        <v>0</v>
      </c>
      <c r="E142" s="210">
        <f t="shared" si="136"/>
        <v>0</v>
      </c>
      <c r="F142" s="209">
        <f t="shared" si="139"/>
        <v>9</v>
      </c>
      <c r="G142" s="305">
        <f t="shared" si="140"/>
        <v>10</v>
      </c>
      <c r="H142" s="203">
        <f t="shared" si="141"/>
        <v>0.9</v>
      </c>
      <c r="I142" s="209">
        <f t="shared" si="135"/>
        <v>0</v>
      </c>
      <c r="J142" s="302">
        <v>0</v>
      </c>
      <c r="K142" s="266">
        <f t="shared" si="137"/>
        <v>0</v>
      </c>
      <c r="L142" s="106"/>
      <c r="P142" s="106"/>
    </row>
    <row r="143" spans="1:19" hidden="1" outlineLevel="1" x14ac:dyDescent="0.35">
      <c r="A143" s="257">
        <f t="shared" si="138"/>
        <v>6</v>
      </c>
      <c r="B143" s="258">
        <v>44440</v>
      </c>
      <c r="C143" s="303">
        <v>0</v>
      </c>
      <c r="D143" s="304">
        <v>3</v>
      </c>
      <c r="E143" s="210">
        <f t="shared" si="136"/>
        <v>3</v>
      </c>
      <c r="F143" s="209">
        <f t="shared" si="139"/>
        <v>12</v>
      </c>
      <c r="G143" s="305">
        <f t="shared" si="140"/>
        <v>12</v>
      </c>
      <c r="H143" s="203">
        <f t="shared" si="141"/>
        <v>1</v>
      </c>
      <c r="I143" s="209">
        <f t="shared" si="135"/>
        <v>3</v>
      </c>
      <c r="J143" s="302">
        <v>0</v>
      </c>
      <c r="K143" s="266">
        <f t="shared" si="137"/>
        <v>3</v>
      </c>
      <c r="L143" s="106"/>
      <c r="P143" s="106"/>
    </row>
    <row r="144" spans="1:19" hidden="1" outlineLevel="1" x14ac:dyDescent="0.35">
      <c r="A144" s="257">
        <f t="shared" si="138"/>
        <v>7</v>
      </c>
      <c r="B144" s="258">
        <v>44470</v>
      </c>
      <c r="C144" s="303"/>
      <c r="D144" s="304"/>
      <c r="E144" s="210">
        <f t="shared" si="136"/>
        <v>0</v>
      </c>
      <c r="F144" s="209">
        <f t="shared" si="139"/>
        <v>12</v>
      </c>
      <c r="G144" s="305">
        <f t="shared" si="140"/>
        <v>14</v>
      </c>
      <c r="H144" s="203">
        <f t="shared" si="141"/>
        <v>0.8571428571428571</v>
      </c>
      <c r="I144" s="209">
        <f t="shared" si="135"/>
        <v>0</v>
      </c>
      <c r="J144" s="302"/>
      <c r="K144" s="266">
        <f t="shared" si="137"/>
        <v>0</v>
      </c>
      <c r="L144" s="106"/>
      <c r="P144" s="106"/>
    </row>
    <row r="145" spans="1:11" hidden="1" outlineLevel="1" x14ac:dyDescent="0.35">
      <c r="A145" s="257">
        <f t="shared" si="138"/>
        <v>8</v>
      </c>
      <c r="B145" s="258">
        <v>44501</v>
      </c>
      <c r="C145" s="303"/>
      <c r="D145" s="304"/>
      <c r="E145" s="210">
        <f t="shared" si="136"/>
        <v>0</v>
      </c>
      <c r="F145" s="209">
        <f t="shared" si="139"/>
        <v>12</v>
      </c>
      <c r="G145" s="305">
        <f t="shared" si="140"/>
        <v>16</v>
      </c>
      <c r="H145" s="203">
        <f t="shared" si="141"/>
        <v>0.75</v>
      </c>
      <c r="I145" s="209">
        <f t="shared" si="135"/>
        <v>0</v>
      </c>
      <c r="J145" s="306">
        <v>2</v>
      </c>
      <c r="K145" s="267">
        <f t="shared" si="137"/>
        <v>2</v>
      </c>
    </row>
    <row r="146" spans="1:11" hidden="1" outlineLevel="1" x14ac:dyDescent="0.35">
      <c r="A146" s="257">
        <f t="shared" si="138"/>
        <v>9</v>
      </c>
      <c r="B146" s="258">
        <v>44531</v>
      </c>
      <c r="C146" s="303"/>
      <c r="D146" s="304">
        <v>3</v>
      </c>
      <c r="E146" s="210">
        <f t="shared" si="136"/>
        <v>3</v>
      </c>
      <c r="F146" s="209">
        <f t="shared" si="139"/>
        <v>15</v>
      </c>
      <c r="G146" s="305">
        <f t="shared" si="140"/>
        <v>18</v>
      </c>
      <c r="H146" s="203">
        <f t="shared" si="141"/>
        <v>0.83333333333333337</v>
      </c>
      <c r="I146" s="209">
        <f t="shared" si="135"/>
        <v>3</v>
      </c>
      <c r="J146" s="306"/>
      <c r="K146" s="267">
        <f t="shared" si="137"/>
        <v>3</v>
      </c>
    </row>
    <row r="147" spans="1:11" hidden="1" outlineLevel="1" x14ac:dyDescent="0.35">
      <c r="A147" s="257">
        <f t="shared" si="138"/>
        <v>10</v>
      </c>
      <c r="B147" s="258">
        <v>44562</v>
      </c>
      <c r="C147" s="303">
        <v>5</v>
      </c>
      <c r="D147" s="304">
        <v>1</v>
      </c>
      <c r="E147" s="210">
        <f t="shared" si="136"/>
        <v>6</v>
      </c>
      <c r="F147" s="209">
        <f t="shared" si="139"/>
        <v>21</v>
      </c>
      <c r="G147" s="305">
        <f t="shared" si="140"/>
        <v>20</v>
      </c>
      <c r="H147" s="203">
        <f t="shared" si="141"/>
        <v>1.05</v>
      </c>
      <c r="I147" s="209">
        <f t="shared" si="135"/>
        <v>6</v>
      </c>
      <c r="J147" s="306"/>
      <c r="K147" s="267">
        <f t="shared" si="137"/>
        <v>6</v>
      </c>
    </row>
    <row r="148" spans="1:11" hidden="1" outlineLevel="1" x14ac:dyDescent="0.35">
      <c r="A148" s="257">
        <f t="shared" si="138"/>
        <v>11</v>
      </c>
      <c r="B148" s="258">
        <v>44593</v>
      </c>
      <c r="C148" s="303">
        <v>1</v>
      </c>
      <c r="D148" s="304"/>
      <c r="E148" s="210">
        <f t="shared" si="136"/>
        <v>1</v>
      </c>
      <c r="F148" s="209">
        <f t="shared" si="139"/>
        <v>22</v>
      </c>
      <c r="G148" s="305">
        <f t="shared" si="140"/>
        <v>22</v>
      </c>
      <c r="H148" s="203">
        <f t="shared" si="141"/>
        <v>1</v>
      </c>
      <c r="I148" s="209">
        <f t="shared" si="135"/>
        <v>1</v>
      </c>
      <c r="J148" s="306"/>
      <c r="K148" s="267">
        <f>+J148+I148</f>
        <v>1</v>
      </c>
    </row>
    <row r="149" spans="1:11" ht="15" hidden="1" outlineLevel="1" thickBot="1" x14ac:dyDescent="0.4">
      <c r="A149" s="240">
        <f t="shared" si="138"/>
        <v>12</v>
      </c>
      <c r="B149" s="258">
        <v>44621</v>
      </c>
      <c r="C149" s="241">
        <v>2</v>
      </c>
      <c r="D149" s="242"/>
      <c r="E149" s="232">
        <f t="shared" si="136"/>
        <v>2</v>
      </c>
      <c r="F149" s="229">
        <f t="shared" si="139"/>
        <v>24</v>
      </c>
      <c r="G149" s="235">
        <f t="shared" si="140"/>
        <v>24</v>
      </c>
      <c r="H149" s="243">
        <f t="shared" si="141"/>
        <v>1</v>
      </c>
      <c r="I149" s="230">
        <f t="shared" si="135"/>
        <v>2</v>
      </c>
      <c r="J149" s="244">
        <v>2</v>
      </c>
      <c r="K149" s="238">
        <f t="shared" si="137"/>
        <v>4</v>
      </c>
    </row>
    <row r="150" spans="1:11" hidden="1" outlineLevel="1" x14ac:dyDescent="0.35">
      <c r="A150" s="307">
        <v>1</v>
      </c>
      <c r="B150" s="308">
        <v>44652</v>
      </c>
      <c r="C150" s="313"/>
      <c r="D150" s="314"/>
      <c r="E150" s="277">
        <f>+C150+D150</f>
        <v>0</v>
      </c>
      <c r="F150" s="275">
        <f>+E150</f>
        <v>0</v>
      </c>
      <c r="G150" s="318">
        <v>2</v>
      </c>
      <c r="H150" s="274">
        <f>F150/G150</f>
        <v>0</v>
      </c>
      <c r="I150" s="284">
        <f t="shared" ref="I150:I161" si="142">+E150</f>
        <v>0</v>
      </c>
      <c r="J150" s="319"/>
      <c r="K150" s="285">
        <f>+J150+I150</f>
        <v>0</v>
      </c>
    </row>
    <row r="151" spans="1:11" hidden="1" outlineLevel="1" x14ac:dyDescent="0.35">
      <c r="A151" s="309">
        <f>+A150+1</f>
        <v>2</v>
      </c>
      <c r="B151" s="310">
        <v>44682</v>
      </c>
      <c r="C151" s="315">
        <v>2</v>
      </c>
      <c r="D151" s="316"/>
      <c r="E151" s="278">
        <f t="shared" ref="E151:E161" si="143">+C151+D151</f>
        <v>2</v>
      </c>
      <c r="F151" s="276">
        <f>+F150+E151</f>
        <v>2</v>
      </c>
      <c r="G151" s="282">
        <f>+A151*G$138</f>
        <v>4</v>
      </c>
      <c r="H151" s="270">
        <f>F151/G151</f>
        <v>0.5</v>
      </c>
      <c r="I151" s="286">
        <f t="shared" si="142"/>
        <v>2</v>
      </c>
      <c r="J151" s="320"/>
      <c r="K151" s="288">
        <f t="shared" ref="K151:K159" si="144">+J151+I151</f>
        <v>2</v>
      </c>
    </row>
    <row r="152" spans="1:11" hidden="1" outlineLevel="1" x14ac:dyDescent="0.35">
      <c r="A152" s="309">
        <f t="shared" ref="A152:A161" si="145">+A151+1</f>
        <v>3</v>
      </c>
      <c r="B152" s="310">
        <v>44713</v>
      </c>
      <c r="C152" s="315">
        <v>2</v>
      </c>
      <c r="D152" s="316"/>
      <c r="E152" s="278">
        <f t="shared" si="143"/>
        <v>2</v>
      </c>
      <c r="F152" s="276">
        <f t="shared" ref="F152:F161" si="146">+F151+E152</f>
        <v>4</v>
      </c>
      <c r="G152" s="282">
        <f t="shared" ref="G152:G161" si="147">+A152*G$138</f>
        <v>6</v>
      </c>
      <c r="H152" s="270">
        <f t="shared" ref="H152:H161" si="148">F152/G152</f>
        <v>0.66666666666666663</v>
      </c>
      <c r="I152" s="286">
        <f t="shared" si="142"/>
        <v>2</v>
      </c>
      <c r="J152" s="320"/>
      <c r="K152" s="288">
        <f t="shared" si="144"/>
        <v>2</v>
      </c>
    </row>
    <row r="153" spans="1:11" hidden="1" outlineLevel="1" x14ac:dyDescent="0.35">
      <c r="A153" s="309">
        <f t="shared" si="145"/>
        <v>4</v>
      </c>
      <c r="B153" s="310">
        <v>44743</v>
      </c>
      <c r="C153" s="315"/>
      <c r="D153" s="317">
        <v>4</v>
      </c>
      <c r="E153" s="278">
        <f t="shared" si="143"/>
        <v>4</v>
      </c>
      <c r="F153" s="276">
        <f t="shared" si="146"/>
        <v>8</v>
      </c>
      <c r="G153" s="283">
        <f t="shared" si="147"/>
        <v>8</v>
      </c>
      <c r="H153" s="271">
        <f t="shared" si="148"/>
        <v>1</v>
      </c>
      <c r="I153" s="286">
        <f t="shared" si="142"/>
        <v>4</v>
      </c>
      <c r="J153" s="320">
        <v>1</v>
      </c>
      <c r="K153" s="288">
        <f t="shared" si="144"/>
        <v>5</v>
      </c>
    </row>
    <row r="154" spans="1:11" hidden="1" outlineLevel="1" x14ac:dyDescent="0.35">
      <c r="A154" s="309">
        <f t="shared" si="145"/>
        <v>5</v>
      </c>
      <c r="B154" s="310">
        <v>44774</v>
      </c>
      <c r="C154" s="315"/>
      <c r="D154" s="316">
        <v>1</v>
      </c>
      <c r="E154" s="278">
        <f t="shared" si="143"/>
        <v>1</v>
      </c>
      <c r="F154" s="276">
        <f t="shared" si="146"/>
        <v>9</v>
      </c>
      <c r="G154" s="282">
        <f t="shared" si="147"/>
        <v>10</v>
      </c>
      <c r="H154" s="270">
        <f t="shared" si="148"/>
        <v>0.9</v>
      </c>
      <c r="I154" s="286">
        <f t="shared" si="142"/>
        <v>1</v>
      </c>
      <c r="J154" s="320"/>
      <c r="K154" s="288">
        <f t="shared" si="144"/>
        <v>1</v>
      </c>
    </row>
    <row r="155" spans="1:11" hidden="1" outlineLevel="1" x14ac:dyDescent="0.35">
      <c r="A155" s="309">
        <f t="shared" si="145"/>
        <v>6</v>
      </c>
      <c r="B155" s="310">
        <v>44805</v>
      </c>
      <c r="C155" s="315"/>
      <c r="D155" s="316">
        <v>2</v>
      </c>
      <c r="E155" s="278">
        <f t="shared" si="143"/>
        <v>2</v>
      </c>
      <c r="F155" s="276">
        <f t="shared" si="146"/>
        <v>11</v>
      </c>
      <c r="G155" s="282">
        <f t="shared" si="147"/>
        <v>12</v>
      </c>
      <c r="H155" s="270">
        <f t="shared" si="148"/>
        <v>0.91666666666666663</v>
      </c>
      <c r="I155" s="286">
        <f t="shared" si="142"/>
        <v>2</v>
      </c>
      <c r="J155" s="320"/>
      <c r="K155" s="288">
        <f t="shared" si="144"/>
        <v>2</v>
      </c>
    </row>
    <row r="156" spans="1:11" hidden="1" outlineLevel="1" x14ac:dyDescent="0.35">
      <c r="A156" s="309">
        <f t="shared" si="145"/>
        <v>7</v>
      </c>
      <c r="B156" s="310">
        <v>44835</v>
      </c>
      <c r="C156" s="315"/>
      <c r="D156" s="316">
        <v>1</v>
      </c>
      <c r="E156" s="278">
        <f t="shared" si="143"/>
        <v>1</v>
      </c>
      <c r="F156" s="276">
        <f t="shared" si="146"/>
        <v>12</v>
      </c>
      <c r="G156" s="282">
        <f t="shared" si="147"/>
        <v>14</v>
      </c>
      <c r="H156" s="270">
        <f t="shared" si="148"/>
        <v>0.8571428571428571</v>
      </c>
      <c r="I156" s="286">
        <f t="shared" si="142"/>
        <v>1</v>
      </c>
      <c r="J156" s="320"/>
      <c r="K156" s="288">
        <f t="shared" si="144"/>
        <v>1</v>
      </c>
    </row>
    <row r="157" spans="1:11" hidden="1" outlineLevel="1" x14ac:dyDescent="0.35">
      <c r="A157" s="309">
        <f t="shared" si="145"/>
        <v>8</v>
      </c>
      <c r="B157" s="310">
        <v>44866</v>
      </c>
      <c r="C157" s="315"/>
      <c r="D157" s="316">
        <v>1</v>
      </c>
      <c r="E157" s="278">
        <f t="shared" si="143"/>
        <v>1</v>
      </c>
      <c r="F157" s="276">
        <f t="shared" si="146"/>
        <v>13</v>
      </c>
      <c r="G157" s="282">
        <f t="shared" si="147"/>
        <v>16</v>
      </c>
      <c r="H157" s="270">
        <f t="shared" si="148"/>
        <v>0.8125</v>
      </c>
      <c r="I157" s="286">
        <f t="shared" si="142"/>
        <v>1</v>
      </c>
      <c r="J157" s="325"/>
      <c r="K157" s="289">
        <f t="shared" si="144"/>
        <v>1</v>
      </c>
    </row>
    <row r="158" spans="1:11" hidden="1" outlineLevel="1" x14ac:dyDescent="0.35">
      <c r="A158" s="309">
        <f t="shared" si="145"/>
        <v>9</v>
      </c>
      <c r="B158" s="310">
        <v>44896</v>
      </c>
      <c r="C158" s="315"/>
      <c r="D158" s="316">
        <v>1</v>
      </c>
      <c r="E158" s="278">
        <f t="shared" si="143"/>
        <v>1</v>
      </c>
      <c r="F158" s="276">
        <f t="shared" si="146"/>
        <v>14</v>
      </c>
      <c r="G158" s="282">
        <f t="shared" si="147"/>
        <v>18</v>
      </c>
      <c r="H158" s="270">
        <f t="shared" si="148"/>
        <v>0.77777777777777779</v>
      </c>
      <c r="I158" s="286">
        <f t="shared" si="142"/>
        <v>1</v>
      </c>
      <c r="J158" s="325">
        <v>1</v>
      </c>
      <c r="K158" s="289">
        <f t="shared" si="144"/>
        <v>2</v>
      </c>
    </row>
    <row r="159" spans="1:11" hidden="1" outlineLevel="1" x14ac:dyDescent="0.35">
      <c r="A159" s="309">
        <f t="shared" si="145"/>
        <v>10</v>
      </c>
      <c r="B159" s="310">
        <v>44927</v>
      </c>
      <c r="C159" s="315"/>
      <c r="D159" s="316"/>
      <c r="E159" s="278">
        <f t="shared" si="143"/>
        <v>0</v>
      </c>
      <c r="F159" s="276">
        <f t="shared" si="146"/>
        <v>14</v>
      </c>
      <c r="G159" s="282">
        <f t="shared" si="147"/>
        <v>20</v>
      </c>
      <c r="H159" s="270">
        <f t="shared" si="148"/>
        <v>0.7</v>
      </c>
      <c r="I159" s="286">
        <f t="shared" si="142"/>
        <v>0</v>
      </c>
      <c r="J159" s="325"/>
      <c r="K159" s="289">
        <f t="shared" si="144"/>
        <v>0</v>
      </c>
    </row>
    <row r="160" spans="1:11" hidden="1" outlineLevel="1" x14ac:dyDescent="0.35">
      <c r="A160" s="309">
        <f t="shared" si="145"/>
        <v>11</v>
      </c>
      <c r="B160" s="310">
        <v>44958</v>
      </c>
      <c r="C160" s="315"/>
      <c r="D160" s="316"/>
      <c r="E160" s="278">
        <f t="shared" si="143"/>
        <v>0</v>
      </c>
      <c r="F160" s="276">
        <f t="shared" si="146"/>
        <v>14</v>
      </c>
      <c r="G160" s="282">
        <f t="shared" si="147"/>
        <v>22</v>
      </c>
      <c r="H160" s="270">
        <f t="shared" si="148"/>
        <v>0.63636363636363635</v>
      </c>
      <c r="I160" s="286">
        <f t="shared" si="142"/>
        <v>0</v>
      </c>
      <c r="J160" s="325"/>
      <c r="K160" s="289">
        <f>+J160+I160</f>
        <v>0</v>
      </c>
    </row>
    <row r="161" spans="1:11" ht="15" hidden="1" outlineLevel="1" thickBot="1" x14ac:dyDescent="0.4">
      <c r="A161" s="311">
        <f t="shared" si="145"/>
        <v>12</v>
      </c>
      <c r="B161" s="312">
        <v>44986</v>
      </c>
      <c r="C161" s="350">
        <v>8</v>
      </c>
      <c r="D161" s="351">
        <v>2</v>
      </c>
      <c r="E161" s="336">
        <f t="shared" si="143"/>
        <v>10</v>
      </c>
      <c r="F161" s="334">
        <f t="shared" si="146"/>
        <v>24</v>
      </c>
      <c r="G161" s="338">
        <f t="shared" si="147"/>
        <v>24</v>
      </c>
      <c r="H161" s="333">
        <f t="shared" si="148"/>
        <v>1</v>
      </c>
      <c r="I161" s="339">
        <f t="shared" si="142"/>
        <v>10</v>
      </c>
      <c r="J161" s="352">
        <v>1</v>
      </c>
      <c r="K161" s="340">
        <f>+J161+I161</f>
        <v>11</v>
      </c>
    </row>
    <row r="162" spans="1:11" ht="15" collapsed="1" thickBot="1" x14ac:dyDescent="0.4">
      <c r="A162" s="307">
        <v>1</v>
      </c>
      <c r="B162" s="308">
        <v>45962</v>
      </c>
      <c r="C162" s="313">
        <v>3</v>
      </c>
      <c r="D162" s="314">
        <v>3</v>
      </c>
      <c r="E162" s="277">
        <f>+C162+D162</f>
        <v>6</v>
      </c>
      <c r="F162" s="275">
        <f>+E162</f>
        <v>6</v>
      </c>
      <c r="G162" s="318">
        <f>+F162</f>
        <v>6</v>
      </c>
      <c r="H162" s="274">
        <f t="shared" ref="H162:H168" si="149">F162/G162</f>
        <v>1</v>
      </c>
      <c r="I162" s="284">
        <f>+E162</f>
        <v>6</v>
      </c>
      <c r="J162" s="319"/>
      <c r="K162" s="285">
        <f>+J162+I162</f>
        <v>6</v>
      </c>
    </row>
    <row r="163" spans="1:11" x14ac:dyDescent="0.35">
      <c r="A163" s="309">
        <f>+A162+1</f>
        <v>2</v>
      </c>
      <c r="B163" s="308">
        <v>45992</v>
      </c>
      <c r="C163" s="315"/>
      <c r="D163" s="316"/>
      <c r="E163" s="278">
        <f>+C163+D163</f>
        <v>0</v>
      </c>
      <c r="F163" s="276">
        <f>+F162+E163</f>
        <v>6</v>
      </c>
      <c r="G163" s="358">
        <f>+A163*G$162</f>
        <v>12</v>
      </c>
      <c r="H163" s="270">
        <f t="shared" si="149"/>
        <v>0.5</v>
      </c>
      <c r="I163" s="286">
        <f>+E163</f>
        <v>0</v>
      </c>
      <c r="J163" s="320"/>
      <c r="K163" s="288">
        <f t="shared" ref="K163:K170" si="150">+J163+I163</f>
        <v>0</v>
      </c>
    </row>
    <row r="164" spans="1:11" x14ac:dyDescent="0.35">
      <c r="A164" s="309">
        <f t="shared" ref="A164:A173" si="151">+A163+1</f>
        <v>3</v>
      </c>
      <c r="B164" s="310">
        <v>46023</v>
      </c>
      <c r="C164" s="315"/>
      <c r="D164" s="316"/>
      <c r="E164" s="278">
        <f>+C164+D164</f>
        <v>0</v>
      </c>
      <c r="F164" s="276">
        <f>+F163+E164</f>
        <v>6</v>
      </c>
      <c r="G164" s="358">
        <f>+A164*G$162</f>
        <v>18</v>
      </c>
      <c r="H164" s="270">
        <f t="shared" si="149"/>
        <v>0.33333333333333331</v>
      </c>
      <c r="I164" s="286">
        <f t="shared" ref="I164:I173" si="152">+E164</f>
        <v>0</v>
      </c>
      <c r="J164" s="320"/>
      <c r="K164" s="288">
        <f t="shared" si="150"/>
        <v>0</v>
      </c>
    </row>
    <row r="165" spans="1:11" x14ac:dyDescent="0.35">
      <c r="A165" s="309">
        <f t="shared" si="151"/>
        <v>4</v>
      </c>
      <c r="B165" s="310">
        <v>46054</v>
      </c>
      <c r="C165" s="315"/>
      <c r="D165" s="316"/>
      <c r="E165" s="278">
        <f t="shared" ref="E165:E173" si="153">+C165+D165</f>
        <v>0</v>
      </c>
      <c r="F165" s="276">
        <f t="shared" ref="F165" si="154">+F164+E165</f>
        <v>6</v>
      </c>
      <c r="G165" s="358">
        <f t="shared" ref="G165:G170" si="155">+A165*G$162</f>
        <v>24</v>
      </c>
      <c r="H165" s="270">
        <f t="shared" si="149"/>
        <v>0.25</v>
      </c>
      <c r="I165" s="286"/>
      <c r="J165" s="320"/>
      <c r="K165" s="288">
        <f t="shared" si="150"/>
        <v>0</v>
      </c>
    </row>
    <row r="166" spans="1:11" x14ac:dyDescent="0.35">
      <c r="A166" s="309">
        <f t="shared" si="151"/>
        <v>5</v>
      </c>
      <c r="B166" s="310">
        <v>46082</v>
      </c>
      <c r="C166" s="315"/>
      <c r="D166" s="316"/>
      <c r="E166" s="278">
        <f t="shared" si="153"/>
        <v>0</v>
      </c>
      <c r="F166" s="276">
        <f>+F165+E166</f>
        <v>6</v>
      </c>
      <c r="G166" s="358">
        <f>+A166*G$162</f>
        <v>30</v>
      </c>
      <c r="H166" s="270">
        <f t="shared" si="149"/>
        <v>0.2</v>
      </c>
      <c r="I166" s="286">
        <f t="shared" si="152"/>
        <v>0</v>
      </c>
      <c r="J166" s="320"/>
      <c r="K166" s="288">
        <f t="shared" si="150"/>
        <v>0</v>
      </c>
    </row>
    <row r="167" spans="1:11" x14ac:dyDescent="0.35">
      <c r="A167" s="309">
        <f t="shared" si="151"/>
        <v>6</v>
      </c>
      <c r="B167" s="310">
        <v>45748</v>
      </c>
      <c r="C167" s="315">
        <v>2</v>
      </c>
      <c r="D167" s="316"/>
      <c r="E167" s="471">
        <f t="shared" si="153"/>
        <v>2</v>
      </c>
      <c r="F167" s="276">
        <f>+E167</f>
        <v>2</v>
      </c>
      <c r="G167" s="358">
        <f>+A167*G$162</f>
        <v>36</v>
      </c>
      <c r="H167" s="270">
        <f t="shared" si="149"/>
        <v>5.5555555555555552E-2</v>
      </c>
      <c r="I167" s="286">
        <f t="shared" si="152"/>
        <v>2</v>
      </c>
      <c r="J167" s="320"/>
      <c r="K167" s="472">
        <f t="shared" si="150"/>
        <v>2</v>
      </c>
    </row>
    <row r="168" spans="1:11" x14ac:dyDescent="0.35">
      <c r="A168" s="309">
        <f t="shared" si="151"/>
        <v>7</v>
      </c>
      <c r="B168" s="310">
        <v>45778</v>
      </c>
      <c r="C168" s="315">
        <v>1</v>
      </c>
      <c r="D168" s="316">
        <v>3</v>
      </c>
      <c r="E168" s="471">
        <f t="shared" si="153"/>
        <v>4</v>
      </c>
      <c r="F168" s="276">
        <f>+F167+E168</f>
        <v>6</v>
      </c>
      <c r="G168" s="358">
        <f t="shared" si="155"/>
        <v>42</v>
      </c>
      <c r="H168" s="270">
        <f t="shared" si="149"/>
        <v>0.14285714285714285</v>
      </c>
      <c r="I168" s="286">
        <f t="shared" si="152"/>
        <v>4</v>
      </c>
      <c r="J168" s="320"/>
      <c r="K168" s="472">
        <f t="shared" si="150"/>
        <v>4</v>
      </c>
    </row>
    <row r="169" spans="1:11" x14ac:dyDescent="0.35">
      <c r="A169" s="309">
        <f t="shared" si="151"/>
        <v>8</v>
      </c>
      <c r="B169" s="310">
        <v>45809</v>
      </c>
      <c r="C169" s="315">
        <v>1</v>
      </c>
      <c r="D169" s="316">
        <v>1</v>
      </c>
      <c r="E169" s="471">
        <f>+C169+D169</f>
        <v>2</v>
      </c>
      <c r="F169" s="276">
        <f>+F168+E169</f>
        <v>8</v>
      </c>
      <c r="G169" s="358">
        <f>+A169*G$162</f>
        <v>48</v>
      </c>
      <c r="H169" s="270">
        <f t="shared" ref="H169:H172" si="156">F169/G169</f>
        <v>0.16666666666666666</v>
      </c>
      <c r="I169" s="286">
        <f>+E169</f>
        <v>2</v>
      </c>
      <c r="J169" s="325"/>
      <c r="K169" s="473">
        <f t="shared" si="150"/>
        <v>2</v>
      </c>
    </row>
    <row r="170" spans="1:11" x14ac:dyDescent="0.35">
      <c r="A170" s="309">
        <f t="shared" si="151"/>
        <v>9</v>
      </c>
      <c r="B170" s="310">
        <v>45839</v>
      </c>
      <c r="C170" s="315">
        <v>1</v>
      </c>
      <c r="D170" s="316"/>
      <c r="E170" s="471">
        <f t="shared" si="153"/>
        <v>1</v>
      </c>
      <c r="F170" s="276">
        <f>+F169+E170</f>
        <v>9</v>
      </c>
      <c r="G170" s="358">
        <f t="shared" si="155"/>
        <v>54</v>
      </c>
      <c r="H170" s="270">
        <f t="shared" si="156"/>
        <v>0.16666666666666666</v>
      </c>
      <c r="I170" s="286">
        <f t="shared" si="152"/>
        <v>1</v>
      </c>
      <c r="J170" s="325"/>
      <c r="K170" s="473">
        <f t="shared" si="150"/>
        <v>1</v>
      </c>
    </row>
    <row r="171" spans="1:11" x14ac:dyDescent="0.35">
      <c r="A171" s="309">
        <f t="shared" si="151"/>
        <v>10</v>
      </c>
      <c r="B171" s="310">
        <v>45870</v>
      </c>
      <c r="C171" s="315"/>
      <c r="D171" s="316">
        <v>2</v>
      </c>
      <c r="E171" s="471">
        <f>+C171+D171</f>
        <v>2</v>
      </c>
      <c r="F171" s="276">
        <f>+F170+E171</f>
        <v>11</v>
      </c>
      <c r="G171" s="358">
        <f>5*I133</f>
        <v>11.666666666666668</v>
      </c>
      <c r="H171" s="270">
        <f t="shared" si="156"/>
        <v>0.94285714285714273</v>
      </c>
      <c r="I171" s="286">
        <f>+E171</f>
        <v>2</v>
      </c>
      <c r="J171" s="325"/>
      <c r="K171" s="473">
        <f>+J171+I171</f>
        <v>2</v>
      </c>
    </row>
    <row r="172" spans="1:11" x14ac:dyDescent="0.35">
      <c r="A172" s="309">
        <f t="shared" si="151"/>
        <v>11</v>
      </c>
      <c r="B172" s="310">
        <v>45901</v>
      </c>
      <c r="C172" s="315"/>
      <c r="D172" s="316"/>
      <c r="E172" s="471">
        <f t="shared" si="153"/>
        <v>0</v>
      </c>
      <c r="F172" s="276">
        <f>+F171+E172</f>
        <v>11</v>
      </c>
      <c r="G172" s="358">
        <f>6*I133</f>
        <v>14</v>
      </c>
      <c r="H172" s="270">
        <f t="shared" si="156"/>
        <v>0.7857142857142857</v>
      </c>
      <c r="I172" s="286">
        <f t="shared" si="152"/>
        <v>0</v>
      </c>
      <c r="J172" s="325"/>
      <c r="K172" s="473">
        <f>+J172+I172</f>
        <v>0</v>
      </c>
    </row>
    <row r="173" spans="1:11" ht="15" thickBot="1" x14ac:dyDescent="0.4">
      <c r="A173" s="311">
        <f t="shared" si="151"/>
        <v>12</v>
      </c>
      <c r="B173" s="310">
        <v>45931</v>
      </c>
      <c r="C173" s="374">
        <v>1</v>
      </c>
      <c r="D173" s="375"/>
      <c r="E173" s="376">
        <f t="shared" si="153"/>
        <v>1</v>
      </c>
      <c r="F173" s="368">
        <f>+E173</f>
        <v>1</v>
      </c>
      <c r="G173" s="377">
        <f>1*I133</f>
        <v>2.3333333333333335</v>
      </c>
      <c r="H173" s="367">
        <f>F173/G173</f>
        <v>0.42857142857142855</v>
      </c>
      <c r="I173" s="371">
        <f t="shared" si="152"/>
        <v>1</v>
      </c>
      <c r="J173" s="378"/>
      <c r="K173" s="372">
        <f>+J173+I173</f>
        <v>1</v>
      </c>
    </row>
  </sheetData>
  <mergeCells count="54">
    <mergeCell ref="D19:E19"/>
    <mergeCell ref="D20:E20"/>
    <mergeCell ref="I92:L92"/>
    <mergeCell ref="N90:R90"/>
    <mergeCell ref="N38:R38"/>
    <mergeCell ref="A32:C32"/>
    <mergeCell ref="D26:E26"/>
    <mergeCell ref="A92:A93"/>
    <mergeCell ref="B92:B93"/>
    <mergeCell ref="C92:D92"/>
    <mergeCell ref="E92:H92"/>
    <mergeCell ref="A83:C83"/>
    <mergeCell ref="K4:M4"/>
    <mergeCell ref="A9:D9"/>
    <mergeCell ref="A11:D11"/>
    <mergeCell ref="E11:F11"/>
    <mergeCell ref="D16:E16"/>
    <mergeCell ref="K5:M5"/>
    <mergeCell ref="A15:C15"/>
    <mergeCell ref="K6:M6"/>
    <mergeCell ref="L10:M10"/>
    <mergeCell ref="L11:M11"/>
    <mergeCell ref="N134:R134"/>
    <mergeCell ref="A136:A137"/>
    <mergeCell ref="B136:B137"/>
    <mergeCell ref="C136:H136"/>
    <mergeCell ref="A1:S1"/>
    <mergeCell ref="A3:S3"/>
    <mergeCell ref="A5:D5"/>
    <mergeCell ref="B40:B41"/>
    <mergeCell ref="A40:A41"/>
    <mergeCell ref="C40:D40"/>
    <mergeCell ref="Q40:S40"/>
    <mergeCell ref="E40:H40"/>
    <mergeCell ref="I40:L40"/>
    <mergeCell ref="A13:S13"/>
    <mergeCell ref="D15:E15"/>
    <mergeCell ref="E5:F5"/>
    <mergeCell ref="A132:C132"/>
    <mergeCell ref="K7:M7"/>
    <mergeCell ref="A7:D7"/>
    <mergeCell ref="E7:F7"/>
    <mergeCell ref="E9:F9"/>
    <mergeCell ref="M92:P92"/>
    <mergeCell ref="M40:P40"/>
    <mergeCell ref="A91:S91"/>
    <mergeCell ref="Q92:S92"/>
    <mergeCell ref="D17:E17"/>
    <mergeCell ref="D18:E18"/>
    <mergeCell ref="A39:S39"/>
    <mergeCell ref="A24:C24"/>
    <mergeCell ref="D24:E24"/>
    <mergeCell ref="D25:E25"/>
    <mergeCell ref="A31:C31"/>
  </mergeCells>
  <phoneticPr fontId="11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5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34998626667073579"/>
    <pageSetUpPr fitToPage="1"/>
  </sheetPr>
  <dimension ref="B3:J86"/>
  <sheetViews>
    <sheetView showGridLines="0" tabSelected="1" zoomScaleNormal="100" workbookViewId="0">
      <selection activeCell="B4" sqref="B4:E33"/>
    </sheetView>
  </sheetViews>
  <sheetFormatPr baseColWidth="10" defaultColWidth="11.453125" defaultRowHeight="13" x14ac:dyDescent="0.3"/>
  <cols>
    <col min="1" max="1" width="6.453125" style="21" bestFit="1" customWidth="1"/>
    <col min="2" max="2" width="11.7265625" style="22" customWidth="1"/>
    <col min="3" max="3" width="10.453125" style="22" customWidth="1"/>
    <col min="4" max="4" width="38.453125" style="21" customWidth="1"/>
    <col min="5" max="5" width="98" style="21" customWidth="1"/>
    <col min="6" max="6" width="14.81640625" style="22" bestFit="1" customWidth="1"/>
    <col min="7" max="7" width="14.81640625" style="22" customWidth="1"/>
    <col min="8" max="8" width="12.7265625" style="21" customWidth="1"/>
    <col min="9" max="9" width="11.453125" style="21"/>
    <col min="10" max="10" width="17.7265625" style="21" bestFit="1" customWidth="1"/>
    <col min="11" max="16384" width="11.453125" style="21"/>
  </cols>
  <sheetData>
    <row r="3" spans="2:10" s="419" customFormat="1" ht="15" customHeight="1" x14ac:dyDescent="0.35">
      <c r="B3" s="432" t="s">
        <v>899</v>
      </c>
      <c r="C3" s="417" t="s">
        <v>559</v>
      </c>
      <c r="D3" s="417" t="s">
        <v>588</v>
      </c>
      <c r="E3" s="417" t="s">
        <v>1530</v>
      </c>
      <c r="F3" s="418" t="s">
        <v>1531</v>
      </c>
      <c r="G3" s="418" t="s">
        <v>1532</v>
      </c>
      <c r="H3" s="418" t="s">
        <v>1529</v>
      </c>
      <c r="I3" s="418" t="s">
        <v>1468</v>
      </c>
      <c r="J3" s="418" t="s">
        <v>1541</v>
      </c>
    </row>
    <row r="4" spans="2:10" s="419" customFormat="1" ht="15.5" x14ac:dyDescent="0.35">
      <c r="B4" s="462"/>
      <c r="C4" s="470"/>
      <c r="D4" s="464"/>
      <c r="E4" s="465"/>
      <c r="F4" s="466" t="s">
        <v>1789</v>
      </c>
      <c r="G4" s="467">
        <v>46056</v>
      </c>
      <c r="H4" s="468">
        <v>1</v>
      </c>
      <c r="I4" s="468" t="s">
        <v>1793</v>
      </c>
      <c r="J4" s="469"/>
    </row>
    <row r="5" spans="2:10" ht="14.5" x14ac:dyDescent="0.35">
      <c r="B5" s="462"/>
      <c r="C5" s="470"/>
      <c r="D5" s="464"/>
      <c r="E5" s="465"/>
      <c r="F5" s="466" t="s">
        <v>1789</v>
      </c>
      <c r="G5" s="467">
        <v>46057</v>
      </c>
      <c r="H5" s="468">
        <v>1</v>
      </c>
      <c r="I5" s="468" t="s">
        <v>1793</v>
      </c>
      <c r="J5" s="469"/>
    </row>
    <row r="6" spans="2:10" ht="14.5" x14ac:dyDescent="0.35">
      <c r="B6" s="462"/>
      <c r="C6" s="463"/>
      <c r="D6" s="464"/>
      <c r="E6" s="465"/>
      <c r="F6" s="466" t="s">
        <v>1790</v>
      </c>
      <c r="G6" s="467">
        <v>46057</v>
      </c>
      <c r="H6" s="468">
        <v>1</v>
      </c>
      <c r="I6" s="468" t="s">
        <v>1793</v>
      </c>
      <c r="J6" s="469"/>
    </row>
    <row r="7" spans="2:10" ht="14.5" x14ac:dyDescent="0.35">
      <c r="B7" s="462"/>
      <c r="C7" s="470"/>
      <c r="D7" s="464"/>
      <c r="E7" s="465"/>
      <c r="F7" s="466" t="s">
        <v>1789</v>
      </c>
      <c r="G7" s="467">
        <v>46058</v>
      </c>
      <c r="H7" s="468">
        <v>1</v>
      </c>
      <c r="I7" s="468" t="s">
        <v>1793</v>
      </c>
      <c r="J7" s="469"/>
    </row>
    <row r="8" spans="2:10" ht="14.5" x14ac:dyDescent="0.35">
      <c r="B8" s="462"/>
      <c r="C8" s="470"/>
      <c r="D8" s="464"/>
      <c r="E8" s="465"/>
      <c r="F8" s="466" t="s">
        <v>1789</v>
      </c>
      <c r="G8" s="467">
        <v>46058</v>
      </c>
      <c r="H8" s="468">
        <v>1</v>
      </c>
      <c r="I8" s="468" t="s">
        <v>1793</v>
      </c>
      <c r="J8" s="469"/>
    </row>
    <row r="9" spans="2:10" ht="14.5" x14ac:dyDescent="0.35">
      <c r="B9" s="462"/>
      <c r="C9" s="470"/>
      <c r="D9" s="464"/>
      <c r="E9" s="465"/>
      <c r="F9" s="466" t="s">
        <v>1789</v>
      </c>
      <c r="G9" s="467">
        <v>46059</v>
      </c>
      <c r="H9" s="468">
        <v>1</v>
      </c>
      <c r="I9" s="468" t="s">
        <v>1793</v>
      </c>
      <c r="J9" s="469"/>
    </row>
    <row r="10" spans="2:10" ht="14.5" x14ac:dyDescent="0.35">
      <c r="B10" s="462"/>
      <c r="C10" s="470"/>
      <c r="D10" s="464"/>
      <c r="E10" s="465"/>
      <c r="F10" s="466" t="s">
        <v>1791</v>
      </c>
      <c r="G10" s="467">
        <v>46061</v>
      </c>
      <c r="H10" s="468"/>
      <c r="I10" s="468" t="s">
        <v>1793</v>
      </c>
      <c r="J10" s="469">
        <v>1</v>
      </c>
    </row>
    <row r="11" spans="2:10" ht="14.5" x14ac:dyDescent="0.35">
      <c r="B11" s="462"/>
      <c r="C11" s="470"/>
      <c r="D11" s="464"/>
      <c r="E11" s="465"/>
      <c r="F11" s="466" t="s">
        <v>1789</v>
      </c>
      <c r="G11" s="467">
        <v>46062</v>
      </c>
      <c r="H11" s="468">
        <v>1</v>
      </c>
      <c r="I11" s="468" t="s">
        <v>1793</v>
      </c>
      <c r="J11" s="469"/>
    </row>
    <row r="12" spans="2:10" ht="14.5" x14ac:dyDescent="0.35">
      <c r="B12" s="462"/>
      <c r="C12" s="470"/>
      <c r="D12" s="464"/>
      <c r="E12" s="465"/>
      <c r="F12" s="466" t="s">
        <v>1789</v>
      </c>
      <c r="G12" s="467">
        <v>46062</v>
      </c>
      <c r="H12" s="468">
        <v>1</v>
      </c>
      <c r="I12" s="468" t="s">
        <v>1793</v>
      </c>
      <c r="J12" s="469"/>
    </row>
    <row r="13" spans="2:10" ht="14.5" x14ac:dyDescent="0.35">
      <c r="B13" s="462"/>
      <c r="C13" s="470"/>
      <c r="D13" s="464"/>
      <c r="E13" s="465"/>
      <c r="F13" s="466" t="s">
        <v>1791</v>
      </c>
      <c r="G13" s="467">
        <v>46062</v>
      </c>
      <c r="H13" s="468"/>
      <c r="I13" s="468" t="s">
        <v>1793</v>
      </c>
      <c r="J13" s="469">
        <v>1</v>
      </c>
    </row>
    <row r="14" spans="2:10" ht="14.5" x14ac:dyDescent="0.35">
      <c r="B14" s="462"/>
      <c r="C14" s="470"/>
      <c r="D14" s="464"/>
      <c r="E14" s="465"/>
      <c r="F14" s="466" t="s">
        <v>1789</v>
      </c>
      <c r="G14" s="467">
        <v>46063</v>
      </c>
      <c r="H14" s="468">
        <v>1</v>
      </c>
      <c r="I14" s="468" t="s">
        <v>1793</v>
      </c>
      <c r="J14" s="469"/>
    </row>
    <row r="15" spans="2:10" ht="14.5" x14ac:dyDescent="0.35">
      <c r="B15" s="462"/>
      <c r="C15" s="470"/>
      <c r="D15" s="464"/>
      <c r="E15" s="465"/>
      <c r="F15" s="466" t="s">
        <v>1789</v>
      </c>
      <c r="G15" s="467">
        <v>46064</v>
      </c>
      <c r="H15" s="468">
        <v>1</v>
      </c>
      <c r="I15" s="468" t="s">
        <v>1793</v>
      </c>
      <c r="J15" s="469"/>
    </row>
    <row r="16" spans="2:10" ht="14.5" x14ac:dyDescent="0.35">
      <c r="B16" s="462"/>
      <c r="C16" s="470"/>
      <c r="D16" s="464"/>
      <c r="E16" s="465"/>
      <c r="F16" s="466" t="s">
        <v>1789</v>
      </c>
      <c r="G16" s="467">
        <v>46064</v>
      </c>
      <c r="H16" s="468">
        <v>1</v>
      </c>
      <c r="I16" s="468" t="s">
        <v>1793</v>
      </c>
      <c r="J16" s="469"/>
    </row>
    <row r="17" spans="2:10" ht="14.5" x14ac:dyDescent="0.35">
      <c r="B17" s="462"/>
      <c r="C17" s="470"/>
      <c r="D17" s="464"/>
      <c r="E17" s="465"/>
      <c r="F17" s="466" t="s">
        <v>1789</v>
      </c>
      <c r="G17" s="467">
        <v>46064</v>
      </c>
      <c r="H17" s="468">
        <v>1</v>
      </c>
      <c r="I17" s="468" t="s">
        <v>1793</v>
      </c>
      <c r="J17" s="469"/>
    </row>
    <row r="18" spans="2:10" ht="14.5" x14ac:dyDescent="0.35">
      <c r="B18" s="462"/>
      <c r="C18" s="470"/>
      <c r="D18" s="464"/>
      <c r="E18" s="465"/>
      <c r="F18" s="466" t="s">
        <v>1792</v>
      </c>
      <c r="G18" s="467">
        <v>46064</v>
      </c>
      <c r="H18" s="468"/>
      <c r="I18" s="468" t="s">
        <v>1793</v>
      </c>
      <c r="J18" s="469">
        <v>1</v>
      </c>
    </row>
    <row r="19" spans="2:10" ht="14.5" x14ac:dyDescent="0.35">
      <c r="B19" s="462"/>
      <c r="C19" s="470"/>
      <c r="D19" s="464"/>
      <c r="E19" s="465"/>
      <c r="F19" s="466" t="s">
        <v>1789</v>
      </c>
      <c r="G19" s="467">
        <v>46065</v>
      </c>
      <c r="H19" s="468">
        <v>1</v>
      </c>
      <c r="I19" s="468" t="s">
        <v>1793</v>
      </c>
      <c r="J19" s="469"/>
    </row>
    <row r="20" spans="2:10" ht="14.5" x14ac:dyDescent="0.35">
      <c r="B20" s="462"/>
      <c r="C20" s="470"/>
      <c r="D20" s="464"/>
      <c r="E20" s="465"/>
      <c r="F20" s="466" t="s">
        <v>1789</v>
      </c>
      <c r="G20" s="467">
        <v>46065</v>
      </c>
      <c r="H20" s="468"/>
      <c r="I20" s="468" t="s">
        <v>1793</v>
      </c>
      <c r="J20" s="469">
        <v>1</v>
      </c>
    </row>
    <row r="21" spans="2:10" ht="14.5" x14ac:dyDescent="0.35">
      <c r="B21" s="462"/>
      <c r="C21" s="470"/>
      <c r="D21" s="464"/>
      <c r="E21" s="465"/>
      <c r="F21" s="466" t="s">
        <v>1792</v>
      </c>
      <c r="G21" s="467">
        <v>46065</v>
      </c>
      <c r="H21" s="468">
        <v>1</v>
      </c>
      <c r="I21" s="468" t="s">
        <v>1793</v>
      </c>
      <c r="J21" s="469"/>
    </row>
    <row r="22" spans="2:10" ht="14.5" x14ac:dyDescent="0.35">
      <c r="B22" s="486"/>
      <c r="C22" s="470"/>
      <c r="D22" s="464"/>
      <c r="E22" s="465"/>
      <c r="F22" s="466" t="s">
        <v>1789</v>
      </c>
      <c r="G22" s="467">
        <v>46066</v>
      </c>
      <c r="H22" s="468"/>
      <c r="I22" s="468" t="s">
        <v>1793</v>
      </c>
      <c r="J22" s="469">
        <v>1</v>
      </c>
    </row>
    <row r="23" spans="2:10" ht="14.5" x14ac:dyDescent="0.35">
      <c r="B23" s="462"/>
      <c r="C23" s="470"/>
      <c r="D23" s="464"/>
      <c r="E23" s="465"/>
      <c r="F23" s="466" t="s">
        <v>1792</v>
      </c>
      <c r="G23" s="467">
        <v>46071</v>
      </c>
      <c r="H23" s="468">
        <v>1</v>
      </c>
      <c r="I23" s="468" t="s">
        <v>1793</v>
      </c>
      <c r="J23" s="469"/>
    </row>
    <row r="24" spans="2:10" ht="14.5" x14ac:dyDescent="0.35">
      <c r="B24" s="462"/>
      <c r="C24" s="470"/>
      <c r="D24" s="464"/>
      <c r="E24" s="465"/>
      <c r="F24" s="466" t="s">
        <v>1792</v>
      </c>
      <c r="G24" s="467">
        <v>46073</v>
      </c>
      <c r="H24" s="468">
        <v>1</v>
      </c>
      <c r="I24" s="468" t="s">
        <v>1793</v>
      </c>
      <c r="J24" s="469"/>
    </row>
    <row r="25" spans="2:10" ht="14.5" x14ac:dyDescent="0.35">
      <c r="B25" s="462"/>
      <c r="C25" s="470"/>
      <c r="D25" s="464"/>
      <c r="E25" s="465"/>
      <c r="F25" s="466" t="s">
        <v>1791</v>
      </c>
      <c r="G25" s="467">
        <v>46074</v>
      </c>
      <c r="H25" s="468"/>
      <c r="I25" s="468" t="s">
        <v>1793</v>
      </c>
      <c r="J25" s="469">
        <v>1</v>
      </c>
    </row>
    <row r="26" spans="2:10" ht="14.5" x14ac:dyDescent="0.35">
      <c r="B26" s="462"/>
      <c r="C26" s="470"/>
      <c r="D26" s="464"/>
      <c r="E26" s="465"/>
      <c r="F26" s="466" t="s">
        <v>1792</v>
      </c>
      <c r="G26" s="467">
        <v>46076</v>
      </c>
      <c r="H26" s="468">
        <v>1</v>
      </c>
      <c r="I26" s="468" t="s">
        <v>1793</v>
      </c>
      <c r="J26" s="469"/>
    </row>
    <row r="27" spans="2:10" ht="14.5" x14ac:dyDescent="0.35">
      <c r="B27" s="462"/>
      <c r="C27" s="470"/>
      <c r="D27" s="464"/>
      <c r="E27" s="465"/>
      <c r="F27" s="466" t="s">
        <v>1789</v>
      </c>
      <c r="G27" s="467">
        <v>46078</v>
      </c>
      <c r="H27" s="468">
        <v>1</v>
      </c>
      <c r="I27" s="468" t="s">
        <v>1793</v>
      </c>
      <c r="J27" s="469"/>
    </row>
    <row r="28" spans="2:10" ht="14.5" x14ac:dyDescent="0.35">
      <c r="B28" s="462"/>
      <c r="C28" s="470"/>
      <c r="D28" s="464"/>
      <c r="E28" s="465"/>
      <c r="F28" s="466" t="s">
        <v>1789</v>
      </c>
      <c r="G28" s="467">
        <v>46078</v>
      </c>
      <c r="H28" s="468">
        <v>1</v>
      </c>
      <c r="I28" s="468" t="s">
        <v>1793</v>
      </c>
      <c r="J28" s="469"/>
    </row>
    <row r="29" spans="2:10" ht="14.5" x14ac:dyDescent="0.35">
      <c r="B29" s="462"/>
      <c r="C29" s="470"/>
      <c r="D29" s="464"/>
      <c r="E29" s="465"/>
      <c r="F29" s="466" t="s">
        <v>1792</v>
      </c>
      <c r="G29" s="467">
        <v>46078</v>
      </c>
      <c r="H29" s="468">
        <v>1</v>
      </c>
      <c r="I29" s="468" t="s">
        <v>1793</v>
      </c>
      <c r="J29" s="469"/>
    </row>
    <row r="30" spans="2:10" ht="14.5" x14ac:dyDescent="0.35">
      <c r="B30" s="462"/>
      <c r="C30" s="470"/>
      <c r="D30" s="464"/>
      <c r="E30" s="465"/>
      <c r="F30" s="466" t="s">
        <v>1792</v>
      </c>
      <c r="G30" s="467">
        <v>46078</v>
      </c>
      <c r="H30" s="468"/>
      <c r="I30" s="468" t="s">
        <v>1793</v>
      </c>
      <c r="J30" s="469">
        <v>1</v>
      </c>
    </row>
    <row r="31" spans="2:10" ht="14.5" x14ac:dyDescent="0.35">
      <c r="B31" s="462"/>
      <c r="C31" s="470"/>
      <c r="D31" s="464"/>
      <c r="E31" s="465"/>
      <c r="F31" s="466" t="s">
        <v>1792</v>
      </c>
      <c r="G31" s="467">
        <v>46079</v>
      </c>
      <c r="H31" s="468">
        <v>1</v>
      </c>
      <c r="I31" s="468" t="s">
        <v>1793</v>
      </c>
      <c r="J31" s="469"/>
    </row>
    <row r="32" spans="2:10" ht="14.5" x14ac:dyDescent="0.35">
      <c r="B32" s="462"/>
      <c r="C32" s="470"/>
      <c r="D32" s="464"/>
      <c r="E32" s="465"/>
      <c r="F32" s="466" t="s">
        <v>1789</v>
      </c>
      <c r="G32" s="467">
        <v>46080</v>
      </c>
      <c r="H32" s="468">
        <v>1</v>
      </c>
      <c r="I32" s="468" t="s">
        <v>1793</v>
      </c>
      <c r="J32" s="469"/>
    </row>
    <row r="33" spans="2:10" ht="14.5" x14ac:dyDescent="0.35">
      <c r="B33" s="462"/>
      <c r="C33" s="470"/>
      <c r="D33" s="464"/>
      <c r="E33" s="465"/>
      <c r="F33" s="466" t="s">
        <v>1789</v>
      </c>
      <c r="G33" s="467">
        <v>46080</v>
      </c>
      <c r="H33" s="468">
        <v>1</v>
      </c>
      <c r="I33" s="468" t="s">
        <v>1793</v>
      </c>
      <c r="J33" s="469"/>
    </row>
    <row r="34" spans="2:10" ht="16" thickBot="1" x14ac:dyDescent="0.4">
      <c r="B34" s="435"/>
      <c r="C34" s="436"/>
      <c r="D34" s="437"/>
      <c r="E34" s="438"/>
      <c r="F34" s="439"/>
      <c r="G34" s="440"/>
      <c r="H34" s="441"/>
      <c r="I34" s="434"/>
      <c r="J34" s="450"/>
    </row>
    <row r="35" spans="2:10" ht="14.5" x14ac:dyDescent="0.35">
      <c r="B35" s="416"/>
      <c r="C35" s="416"/>
      <c r="D35" s="207"/>
      <c r="E35" s="207"/>
      <c r="H35" s="428">
        <f>COUNT(H4:H33)</f>
        <v>23</v>
      </c>
      <c r="I35" s="429">
        <f>+COUNTIF(I4:I34,"Sí")</f>
        <v>30</v>
      </c>
      <c r="J35" s="428">
        <f>SUM(J4:J33)</f>
        <v>7</v>
      </c>
    </row>
    <row r="36" spans="2:10" x14ac:dyDescent="0.3">
      <c r="H36" s="632" t="s">
        <v>1551</v>
      </c>
      <c r="I36" s="632"/>
    </row>
    <row r="37" spans="2:10" x14ac:dyDescent="0.3">
      <c r="H37" s="633">
        <f>(+H35+J35)/I35</f>
        <v>1</v>
      </c>
      <c r="I37" s="633"/>
    </row>
    <row r="38" spans="2:10" ht="14.5" x14ac:dyDescent="0.3">
      <c r="B38" s="442"/>
      <c r="C38" s="442"/>
      <c r="D38" s="478"/>
      <c r="E38" s="478"/>
      <c r="F38" s="442"/>
      <c r="G38" s="455"/>
    </row>
    <row r="39" spans="2:10" ht="14.5" x14ac:dyDescent="0.3">
      <c r="B39" s="442"/>
      <c r="C39" s="442"/>
      <c r="D39" s="493"/>
      <c r="E39" s="494"/>
      <c r="G39" s="455"/>
    </row>
    <row r="40" spans="2:10" ht="12.75" customHeight="1" x14ac:dyDescent="0.3">
      <c r="B40" s="442"/>
      <c r="C40" s="442"/>
      <c r="D40" s="493"/>
      <c r="E40" s="494"/>
      <c r="G40" s="455"/>
    </row>
    <row r="41" spans="2:10" ht="15" customHeight="1" x14ac:dyDescent="0.3">
      <c r="B41" s="442"/>
      <c r="C41" s="442"/>
      <c r="D41" s="454"/>
      <c r="E41" s="496"/>
      <c r="F41" s="455"/>
      <c r="G41" s="455"/>
    </row>
    <row r="42" spans="2:10" ht="14.5" x14ac:dyDescent="0.35">
      <c r="B42" s="442"/>
      <c r="C42" s="442"/>
      <c r="D42" s="454"/>
      <c r="E42"/>
      <c r="F42" s="455"/>
      <c r="G42" s="455"/>
    </row>
    <row r="43" spans="2:10" ht="15" customHeight="1" x14ac:dyDescent="0.35">
      <c r="B43" s="442"/>
      <c r="C43" s="107"/>
      <c r="D43"/>
      <c r="E43"/>
      <c r="F43" s="455"/>
      <c r="G43" s="455"/>
    </row>
    <row r="44" spans="2:10" ht="15" customHeight="1" x14ac:dyDescent="0.35">
      <c r="B44" s="442"/>
      <c r="C44" s="442"/>
      <c r="D44" s="454"/>
      <c r="E44"/>
      <c r="F44" s="455"/>
      <c r="G44" s="455"/>
    </row>
    <row r="45" spans="2:10" ht="15" customHeight="1" x14ac:dyDescent="0.35">
      <c r="B45" s="442"/>
      <c r="C45" s="442"/>
      <c r="D45" s="454"/>
      <c r="E45"/>
      <c r="F45" s="455"/>
      <c r="G45" s="455"/>
    </row>
    <row r="46" spans="2:10" ht="15" customHeight="1" x14ac:dyDescent="0.35">
      <c r="B46" s="442"/>
      <c r="C46" s="442"/>
      <c r="D46" s="454"/>
      <c r="E46"/>
      <c r="F46" s="455"/>
      <c r="G46" s="455"/>
    </row>
    <row r="47" spans="2:10" ht="15" customHeight="1" x14ac:dyDescent="0.35">
      <c r="B47" s="442"/>
      <c r="C47" s="107"/>
      <c r="D47"/>
      <c r="E47"/>
      <c r="F47" s="455"/>
      <c r="G47" s="455"/>
    </row>
    <row r="48" spans="2:10" ht="14.5" x14ac:dyDescent="0.35">
      <c r="B48" s="442"/>
      <c r="C48" s="107"/>
      <c r="D48"/>
      <c r="E48"/>
      <c r="F48" s="455"/>
      <c r="G48" s="455"/>
    </row>
    <row r="49" spans="2:7" ht="15" customHeight="1" x14ac:dyDescent="0.35">
      <c r="B49" s="442"/>
      <c r="C49" s="442"/>
      <c r="D49" s="454"/>
      <c r="E49"/>
      <c r="F49" s="455"/>
      <c r="G49" s="455"/>
    </row>
    <row r="50" spans="2:7" ht="14.5" x14ac:dyDescent="0.35">
      <c r="B50" s="442"/>
      <c r="C50" s="107"/>
      <c r="D50"/>
      <c r="E50"/>
      <c r="F50" s="455"/>
      <c r="G50" s="455"/>
    </row>
    <row r="51" spans="2:7" ht="15" customHeight="1" x14ac:dyDescent="0.35">
      <c r="B51" s="442"/>
      <c r="C51" s="442"/>
      <c r="D51" s="454"/>
      <c r="E51"/>
      <c r="F51" s="455"/>
      <c r="G51" s="455"/>
    </row>
    <row r="52" spans="2:7" ht="15" customHeight="1" x14ac:dyDescent="0.35">
      <c r="B52" s="442"/>
      <c r="C52" s="107"/>
      <c r="D52"/>
      <c r="E52"/>
      <c r="F52" s="455"/>
      <c r="G52" s="455"/>
    </row>
    <row r="53" spans="2:7" ht="15" customHeight="1" x14ac:dyDescent="0.35">
      <c r="B53" s="442"/>
      <c r="C53" s="107"/>
      <c r="D53"/>
      <c r="E53" s="458"/>
      <c r="F53" s="455"/>
      <c r="G53" s="455"/>
    </row>
    <row r="54" spans="2:7" ht="14.5" x14ac:dyDescent="0.35">
      <c r="B54" s="442"/>
      <c r="C54" s="107"/>
      <c r="D54"/>
      <c r="E54" s="458"/>
      <c r="F54" s="455"/>
      <c r="G54" s="455"/>
    </row>
    <row r="55" spans="2:7" ht="15" customHeight="1" x14ac:dyDescent="0.35">
      <c r="B55" s="442"/>
      <c r="C55" s="107"/>
      <c r="D55"/>
      <c r="E55"/>
      <c r="F55" s="455"/>
      <c r="G55" s="455"/>
    </row>
    <row r="56" spans="2:7" ht="15" customHeight="1" x14ac:dyDescent="0.35">
      <c r="B56" s="442"/>
      <c r="C56" s="107"/>
      <c r="D56" s="454"/>
      <c r="E56"/>
      <c r="F56" s="455"/>
      <c r="G56" s="455"/>
    </row>
    <row r="57" spans="2:7" ht="15" customHeight="1" x14ac:dyDescent="0.3">
      <c r="B57" s="442"/>
      <c r="C57" s="442"/>
      <c r="D57" s="454"/>
      <c r="E57" s="496"/>
      <c r="F57" s="455"/>
      <c r="G57" s="455"/>
    </row>
    <row r="58" spans="2:7" ht="14.5" x14ac:dyDescent="0.35">
      <c r="B58" s="442"/>
      <c r="C58" s="107"/>
      <c r="D58"/>
      <c r="E58" s="458"/>
      <c r="F58" s="455"/>
      <c r="G58" s="455"/>
    </row>
    <row r="59" spans="2:7" ht="14.5" x14ac:dyDescent="0.35">
      <c r="B59" s="442"/>
      <c r="C59" s="442"/>
      <c r="D59" s="454"/>
      <c r="E59"/>
      <c r="F59" s="455"/>
      <c r="G59" s="455"/>
    </row>
    <row r="60" spans="2:7" ht="14.5" x14ac:dyDescent="0.35">
      <c r="B60" s="442"/>
      <c r="C60" s="107"/>
      <c r="D60"/>
      <c r="E60"/>
      <c r="F60" s="455"/>
      <c r="G60" s="455"/>
    </row>
    <row r="61" spans="2:7" ht="14.5" x14ac:dyDescent="0.35">
      <c r="B61" s="442"/>
      <c r="C61" s="107"/>
      <c r="D61"/>
      <c r="E61"/>
      <c r="F61" s="455"/>
      <c r="G61" s="455"/>
    </row>
    <row r="62" spans="2:7" ht="15" customHeight="1" x14ac:dyDescent="0.35">
      <c r="B62" s="442"/>
      <c r="C62" s="107"/>
      <c r="D62"/>
      <c r="E62"/>
      <c r="F62" s="455"/>
      <c r="G62" s="455"/>
    </row>
    <row r="63" spans="2:7" ht="14.5" x14ac:dyDescent="0.35">
      <c r="B63" s="442"/>
      <c r="C63" s="107"/>
      <c r="D63"/>
      <c r="E63"/>
      <c r="F63" s="455"/>
      <c r="G63" s="455"/>
    </row>
    <row r="64" spans="2:7" ht="14.5" x14ac:dyDescent="0.3">
      <c r="B64" s="442"/>
      <c r="C64" s="442"/>
      <c r="D64" s="454"/>
      <c r="E64" s="552"/>
      <c r="F64" s="455"/>
      <c r="G64" s="455"/>
    </row>
    <row r="65" spans="2:9" ht="15" customHeight="1" x14ac:dyDescent="0.3">
      <c r="B65" s="442"/>
      <c r="C65" s="442"/>
      <c r="D65" s="454"/>
      <c r="E65" s="552"/>
      <c r="F65" s="455"/>
      <c r="G65" s="455"/>
    </row>
    <row r="66" spans="2:9" ht="15" customHeight="1" x14ac:dyDescent="0.35">
      <c r="B66" s="442"/>
      <c r="C66" s="107"/>
      <c r="D66"/>
      <c r="E66"/>
      <c r="F66" s="455"/>
      <c r="G66" s="455"/>
    </row>
    <row r="67" spans="2:9" ht="15" customHeight="1" x14ac:dyDescent="0.35">
      <c r="B67" s="442"/>
      <c r="C67" s="107"/>
      <c r="D67"/>
      <c r="E67"/>
      <c r="F67" s="455"/>
      <c r="G67" s="455"/>
      <c r="H67" s="442"/>
      <c r="I67" s="442"/>
    </row>
    <row r="68" spans="2:9" ht="15" customHeight="1" x14ac:dyDescent="0.35">
      <c r="B68" s="442"/>
      <c r="C68" s="107"/>
      <c r="D68"/>
      <c r="E68" s="458"/>
      <c r="F68" s="455"/>
      <c r="G68" s="455"/>
      <c r="H68" s="442"/>
      <c r="I68" s="442"/>
    </row>
    <row r="69" spans="2:9" ht="14.5" x14ac:dyDescent="0.35">
      <c r="B69" s="442"/>
      <c r="C69" s="107"/>
      <c r="D69" s="454"/>
      <c r="E69"/>
      <c r="F69" s="455"/>
      <c r="G69" s="455"/>
      <c r="H69" s="442"/>
      <c r="I69" s="107"/>
    </row>
    <row r="70" spans="2:9" ht="14.5" x14ac:dyDescent="0.35">
      <c r="B70" s="442"/>
      <c r="C70" s="107"/>
      <c r="D70" s="454"/>
      <c r="E70"/>
      <c r="F70" s="455"/>
      <c r="G70" s="455"/>
      <c r="H70" s="442"/>
      <c r="I70" s="107"/>
    </row>
    <row r="71" spans="2:9" ht="15" customHeight="1" x14ac:dyDescent="0.35">
      <c r="B71" s="442"/>
      <c r="C71" s="107"/>
      <c r="D71"/>
      <c r="E71"/>
      <c r="F71" s="442"/>
      <c r="G71" s="455"/>
      <c r="H71" s="442"/>
      <c r="I71" s="442"/>
    </row>
    <row r="72" spans="2:9" ht="14.5" x14ac:dyDescent="0.35">
      <c r="B72" s="442"/>
      <c r="C72" s="442"/>
      <c r="D72" s="478"/>
      <c r="E72" s="478"/>
      <c r="G72" s="455"/>
      <c r="H72" s="442"/>
      <c r="I72" s="107"/>
    </row>
    <row r="73" spans="2:9" ht="14.5" x14ac:dyDescent="0.35">
      <c r="B73" s="442"/>
      <c r="C73" s="107"/>
      <c r="D73"/>
      <c r="E73"/>
      <c r="F73" s="442"/>
      <c r="G73" s="455"/>
      <c r="H73" s="442"/>
      <c r="I73" s="107"/>
    </row>
    <row r="74" spans="2:9" ht="14.5" x14ac:dyDescent="0.35">
      <c r="B74" s="442"/>
      <c r="C74" s="107"/>
      <c r="D74" s="493"/>
      <c r="E74" s="494"/>
      <c r="G74" s="455"/>
      <c r="H74" s="442"/>
      <c r="I74" s="107"/>
    </row>
    <row r="75" spans="2:9" ht="15" customHeight="1" x14ac:dyDescent="0.35">
      <c r="B75" s="442"/>
      <c r="C75" s="442"/>
      <c r="D75" s="454"/>
      <c r="E75" s="458"/>
      <c r="F75" s="442"/>
      <c r="G75" s="455"/>
    </row>
    <row r="76" spans="2:9" ht="15" customHeight="1" x14ac:dyDescent="0.3"/>
    <row r="77" spans="2:9" ht="15" customHeight="1" x14ac:dyDescent="0.3"/>
    <row r="78" spans="2:9" ht="15" customHeight="1" x14ac:dyDescent="0.3">
      <c r="G78" s="457"/>
    </row>
    <row r="79" spans="2:9" ht="14.5" x14ac:dyDescent="0.35">
      <c r="B79" s="442"/>
      <c r="C79" s="107"/>
      <c r="D79"/>
      <c r="E79"/>
      <c r="F79" s="442"/>
      <c r="G79" s="455"/>
    </row>
    <row r="80" spans="2:9" ht="14.5" x14ac:dyDescent="0.35">
      <c r="B80" s="442"/>
      <c r="C80" s="107"/>
      <c r="D80"/>
      <c r="E80"/>
      <c r="F80" s="442"/>
      <c r="G80" s="455"/>
    </row>
    <row r="81" spans="2:7" ht="14.5" x14ac:dyDescent="0.35">
      <c r="B81" s="497"/>
      <c r="C81" s="498"/>
      <c r="D81" s="499"/>
      <c r="E81" s="500"/>
      <c r="F81" s="442"/>
      <c r="G81" s="501"/>
    </row>
    <row r="82" spans="2:7" ht="14.5" x14ac:dyDescent="0.35">
      <c r="B82" s="442"/>
      <c r="C82" s="107"/>
      <c r="D82"/>
      <c r="E82"/>
      <c r="F82" s="442"/>
      <c r="G82" s="455"/>
    </row>
    <row r="83" spans="2:7" ht="14.5" x14ac:dyDescent="0.35">
      <c r="B83" s="495"/>
      <c r="C83" s="107"/>
      <c r="D83"/>
      <c r="E83"/>
      <c r="F83" s="442"/>
      <c r="G83" s="455"/>
    </row>
    <row r="84" spans="2:7" ht="14.5" x14ac:dyDescent="0.35">
      <c r="B84" s="495"/>
      <c r="C84" s="107"/>
      <c r="D84"/>
      <c r="E84"/>
      <c r="F84" s="442"/>
      <c r="G84" s="455"/>
    </row>
    <row r="85" spans="2:7" ht="14.5" x14ac:dyDescent="0.35">
      <c r="B85" s="442"/>
      <c r="C85" s="442"/>
      <c r="D85"/>
      <c r="E85" s="478"/>
      <c r="F85" s="454"/>
      <c r="G85" s="455"/>
    </row>
    <row r="86" spans="2:7" ht="14.5" x14ac:dyDescent="0.35">
      <c r="B86" s="442"/>
      <c r="C86" s="107"/>
      <c r="D86"/>
      <c r="E86"/>
      <c r="F86" s="454"/>
      <c r="G86" s="455"/>
    </row>
  </sheetData>
  <autoFilter ref="A3:I37" xr:uid="{00000000-0009-0000-0000-000001000000}">
    <sortState xmlns:xlrd2="http://schemas.microsoft.com/office/spreadsheetml/2017/richdata2" ref="A4:F30">
      <sortCondition ref="F3:F30"/>
    </sortState>
  </autoFilter>
  <sortState xmlns:xlrd2="http://schemas.microsoft.com/office/spreadsheetml/2017/richdata2" ref="B49:G79">
    <sortCondition ref="G49:G79"/>
  </sortState>
  <mergeCells count="2">
    <mergeCell ref="H36:I36"/>
    <mergeCell ref="H37:I37"/>
  </mergeCells>
  <phoneticPr fontId="11" type="noConversion"/>
  <conditionalFormatting sqref="B3">
    <cfRule type="duplicateValues" dxfId="238" priority="670"/>
    <cfRule type="duplicateValues" dxfId="237" priority="671"/>
  </conditionalFormatting>
  <conditionalFormatting sqref="B4">
    <cfRule type="duplicateValues" dxfId="236" priority="288"/>
    <cfRule type="duplicateValues" dxfId="235" priority="289"/>
  </conditionalFormatting>
  <conditionalFormatting sqref="B5:B33">
    <cfRule type="duplicateValues" dxfId="234" priority="2136"/>
    <cfRule type="duplicateValues" dxfId="233" priority="2137"/>
  </conditionalFormatting>
  <conditionalFormatting sqref="B34:B39">
    <cfRule type="duplicateValues" dxfId="232" priority="1892"/>
  </conditionalFormatting>
  <conditionalFormatting sqref="B42 B52:B54">
    <cfRule type="duplicateValues" dxfId="231" priority="110"/>
    <cfRule type="duplicateValues" dxfId="230" priority="111"/>
    <cfRule type="duplicateValues" dxfId="229" priority="113"/>
    <cfRule type="duplicateValues" dxfId="228" priority="112"/>
  </conditionalFormatting>
  <conditionalFormatting sqref="B42">
    <cfRule type="duplicateValues" dxfId="227" priority="126"/>
    <cfRule type="duplicateValues" dxfId="226" priority="125"/>
    <cfRule type="duplicateValues" dxfId="225" priority="123"/>
    <cfRule type="duplicateValues" dxfId="224" priority="122"/>
    <cfRule type="duplicateValues" dxfId="223" priority="74"/>
    <cfRule type="duplicateValues" dxfId="222" priority="121"/>
    <cfRule type="duplicateValues" dxfId="221" priority="120"/>
    <cfRule type="duplicateValues" dxfId="220" priority="119"/>
    <cfRule type="duplicateValues" dxfId="219" priority="118"/>
    <cfRule type="duplicateValues" dxfId="218" priority="117"/>
    <cfRule type="duplicateValues" dxfId="217" priority="116"/>
    <cfRule type="duplicateValues" dxfId="216" priority="115"/>
    <cfRule type="duplicateValues" dxfId="215" priority="114"/>
    <cfRule type="duplicateValues" dxfId="214" priority="130"/>
    <cfRule type="duplicateValues" dxfId="213" priority="138"/>
    <cfRule type="duplicateValues" dxfId="212" priority="135"/>
    <cfRule type="duplicateValues" dxfId="211" priority="134"/>
    <cfRule type="duplicateValues" dxfId="210" priority="133"/>
    <cfRule type="duplicateValues" dxfId="209" priority="132"/>
    <cfRule type="duplicateValues" dxfId="208" priority="131"/>
    <cfRule type="duplicateValues" dxfId="207" priority="137"/>
    <cfRule type="duplicateValues" dxfId="206" priority="140"/>
    <cfRule type="duplicateValues" dxfId="205" priority="141"/>
    <cfRule type="duplicateValues" dxfId="204" priority="142"/>
    <cfRule type="duplicateValues" dxfId="203" priority="124"/>
    <cfRule type="duplicateValues" dxfId="202" priority="139"/>
    <cfRule type="duplicateValues" dxfId="201" priority="79"/>
    <cfRule type="duplicateValues" dxfId="200" priority="129"/>
    <cfRule type="duplicateValues" dxfId="199" priority="128"/>
    <cfRule type="duplicateValues" dxfId="198" priority="127"/>
    <cfRule type="duplicateValues" dxfId="197" priority="136"/>
  </conditionalFormatting>
  <conditionalFormatting sqref="B42:B49 B52:B54">
    <cfRule type="duplicateValues" dxfId="196" priority="73"/>
  </conditionalFormatting>
  <conditionalFormatting sqref="B42:B54">
    <cfRule type="duplicateValues" dxfId="195" priority="72"/>
  </conditionalFormatting>
  <conditionalFormatting sqref="B43:B49">
    <cfRule type="duplicateValues" dxfId="194" priority="91"/>
    <cfRule type="duplicateValues" dxfId="193" priority="92"/>
    <cfRule type="duplicateValues" dxfId="192" priority="93"/>
    <cfRule type="duplicateValues" dxfId="191" priority="94"/>
    <cfRule type="duplicateValues" dxfId="190" priority="95"/>
    <cfRule type="duplicateValues" dxfId="189" priority="101"/>
    <cfRule type="duplicateValues" dxfId="188" priority="96"/>
    <cfRule type="duplicateValues" dxfId="187" priority="97"/>
    <cfRule type="duplicateValues" dxfId="186" priority="99"/>
    <cfRule type="duplicateValues" dxfId="185" priority="100"/>
    <cfRule type="duplicateValues" dxfId="184" priority="98"/>
    <cfRule type="duplicateValues" dxfId="183" priority="106"/>
    <cfRule type="duplicateValues" dxfId="182" priority="105"/>
    <cfRule type="duplicateValues" dxfId="181" priority="104"/>
    <cfRule type="duplicateValues" dxfId="180" priority="103"/>
    <cfRule type="duplicateValues" dxfId="179" priority="102"/>
    <cfRule type="duplicateValues" dxfId="178" priority="86"/>
    <cfRule type="duplicateValues" dxfId="177" priority="80"/>
    <cfRule type="duplicateValues" dxfId="176" priority="81"/>
    <cfRule type="duplicateValues" dxfId="175" priority="82"/>
    <cfRule type="duplicateValues" dxfId="174" priority="83"/>
    <cfRule type="duplicateValues" dxfId="173" priority="84"/>
    <cfRule type="duplicateValues" dxfId="172" priority="85"/>
    <cfRule type="duplicateValues" dxfId="171" priority="87"/>
    <cfRule type="duplicateValues" dxfId="170" priority="88"/>
    <cfRule type="duplicateValues" dxfId="169" priority="89"/>
    <cfRule type="duplicateValues" dxfId="168" priority="90"/>
  </conditionalFormatting>
  <conditionalFormatting sqref="B50">
    <cfRule type="duplicateValues" dxfId="167" priority="78"/>
    <cfRule type="duplicateValues" dxfId="166" priority="77"/>
  </conditionalFormatting>
  <conditionalFormatting sqref="B51">
    <cfRule type="duplicateValues" dxfId="165" priority="75"/>
    <cfRule type="duplicateValues" dxfId="164" priority="76"/>
  </conditionalFormatting>
  <conditionalFormatting sqref="B52:B54">
    <cfRule type="duplicateValues" dxfId="163" priority="108"/>
    <cfRule type="duplicateValues" dxfId="162" priority="109"/>
    <cfRule type="duplicateValues" dxfId="161" priority="107"/>
  </conditionalFormatting>
  <conditionalFormatting sqref="B60:B63">
    <cfRule type="duplicateValues" dxfId="160" priority="60"/>
    <cfRule type="duplicateValues" dxfId="159" priority="61"/>
  </conditionalFormatting>
  <conditionalFormatting sqref="B64 B67">
    <cfRule type="duplicateValues" dxfId="158" priority="40"/>
    <cfRule type="duplicateValues" dxfId="157" priority="41"/>
    <cfRule type="duplicateValues" dxfId="156" priority="50"/>
    <cfRule type="duplicateValues" dxfId="155" priority="48"/>
    <cfRule type="duplicateValues" dxfId="154" priority="47"/>
    <cfRule type="duplicateValues" dxfId="153" priority="32"/>
    <cfRule type="duplicateValues" dxfId="152" priority="49"/>
  </conditionalFormatting>
  <conditionalFormatting sqref="B64">
    <cfRule type="duplicateValues" dxfId="151" priority="37"/>
    <cfRule type="duplicateValues" dxfId="150" priority="36"/>
    <cfRule type="duplicateValues" dxfId="149" priority="35"/>
    <cfRule type="duplicateValues" dxfId="148" priority="34"/>
    <cfRule type="duplicateValues" dxfId="147" priority="33"/>
    <cfRule type="duplicateValues" dxfId="146" priority="53"/>
    <cfRule type="duplicateValues" dxfId="145" priority="52"/>
    <cfRule type="duplicateValues" dxfId="144" priority="44"/>
    <cfRule type="duplicateValues" dxfId="143" priority="51"/>
    <cfRule type="duplicateValues" dxfId="142" priority="46"/>
    <cfRule type="duplicateValues" dxfId="141" priority="58"/>
    <cfRule type="duplicateValues" dxfId="140" priority="59"/>
    <cfRule type="duplicateValues" dxfId="139" priority="45"/>
    <cfRule type="duplicateValues" dxfId="138" priority="43"/>
    <cfRule type="duplicateValues" dxfId="137" priority="42"/>
    <cfRule type="duplicateValues" dxfId="136" priority="56"/>
    <cfRule type="duplicateValues" dxfId="135" priority="55"/>
    <cfRule type="duplicateValues" dxfId="134" priority="57"/>
    <cfRule type="duplicateValues" dxfId="133" priority="39"/>
    <cfRule type="duplicateValues" dxfId="132" priority="38"/>
    <cfRule type="duplicateValues" dxfId="131" priority="54"/>
  </conditionalFormatting>
  <conditionalFormatting sqref="B65:B66">
    <cfRule type="duplicateValues" dxfId="130" priority="18"/>
    <cfRule type="duplicateValues" dxfId="129" priority="19"/>
    <cfRule type="duplicateValues" dxfId="128" priority="20"/>
    <cfRule type="duplicateValues" dxfId="127" priority="21"/>
    <cfRule type="duplicateValues" dxfId="126" priority="22"/>
    <cfRule type="duplicateValues" dxfId="125" priority="23"/>
    <cfRule type="duplicateValues" dxfId="124" priority="25"/>
    <cfRule type="duplicateValues" dxfId="123" priority="26"/>
    <cfRule type="duplicateValues" dxfId="122" priority="27"/>
    <cfRule type="duplicateValues" dxfId="121" priority="28"/>
    <cfRule type="duplicateValues" dxfId="120" priority="29"/>
    <cfRule type="duplicateValues" dxfId="119" priority="24"/>
    <cfRule type="duplicateValues" dxfId="118" priority="3"/>
    <cfRule type="duplicateValues" dxfId="117" priority="6"/>
    <cfRule type="duplicateValues" dxfId="116" priority="7"/>
    <cfRule type="duplicateValues" dxfId="115" priority="8"/>
    <cfRule type="duplicateValues" dxfId="114" priority="9"/>
    <cfRule type="duplicateValues" dxfId="113" priority="10"/>
    <cfRule type="duplicateValues" dxfId="112" priority="11"/>
    <cfRule type="duplicateValues" dxfId="111" priority="12"/>
    <cfRule type="duplicateValues" dxfId="110" priority="13"/>
    <cfRule type="duplicateValues" dxfId="109" priority="14"/>
    <cfRule type="duplicateValues" dxfId="108" priority="15"/>
    <cfRule type="duplicateValues" dxfId="107" priority="16"/>
    <cfRule type="duplicateValues" dxfId="106" priority="17"/>
  </conditionalFormatting>
  <conditionalFormatting sqref="B68:B71">
    <cfRule type="duplicateValues" dxfId="105" priority="2"/>
    <cfRule type="duplicateValues" dxfId="104" priority="1"/>
  </conditionalFormatting>
  <conditionalFormatting sqref="B72">
    <cfRule type="duplicateValues" dxfId="103" priority="185"/>
    <cfRule type="duplicateValues" dxfId="102" priority="186"/>
  </conditionalFormatting>
  <conditionalFormatting sqref="B73:B79">
    <cfRule type="duplicateValues" dxfId="101" priority="2126"/>
  </conditionalFormatting>
  <conditionalFormatting sqref="B73:B82">
    <cfRule type="duplicateValues" dxfId="100" priority="2133"/>
    <cfRule type="duplicateValues" dxfId="99" priority="2128"/>
    <cfRule type="duplicateValues" dxfId="98" priority="2129"/>
    <cfRule type="duplicateValues" dxfId="97" priority="2130"/>
    <cfRule type="duplicateValues" dxfId="96" priority="2131"/>
    <cfRule type="duplicateValues" dxfId="95" priority="2132"/>
  </conditionalFormatting>
  <conditionalFormatting sqref="B80:B82">
    <cfRule type="duplicateValues" dxfId="94" priority="175"/>
    <cfRule type="duplicateValues" dxfId="93" priority="158"/>
    <cfRule type="duplicateValues" dxfId="92" priority="159"/>
    <cfRule type="duplicateValues" dxfId="91" priority="177"/>
    <cfRule type="duplicateValues" dxfId="90" priority="161"/>
    <cfRule type="duplicateValues" dxfId="89" priority="160"/>
    <cfRule type="duplicateValues" dxfId="88" priority="165"/>
    <cfRule type="duplicateValues" dxfId="87" priority="166"/>
    <cfRule type="duplicateValues" dxfId="86" priority="167"/>
    <cfRule type="duplicateValues" dxfId="85" priority="168"/>
    <cfRule type="duplicateValues" dxfId="84" priority="184"/>
    <cfRule type="duplicateValues" dxfId="83" priority="170"/>
    <cfRule type="duplicateValues" dxfId="82" priority="171"/>
    <cfRule type="duplicateValues" dxfId="81" priority="176"/>
    <cfRule type="duplicateValues" dxfId="80" priority="180"/>
    <cfRule type="duplicateValues" dxfId="79" priority="179"/>
    <cfRule type="duplicateValues" dxfId="78" priority="172"/>
    <cfRule type="duplicateValues" dxfId="77" priority="169"/>
    <cfRule type="duplicateValues" dxfId="76" priority="173"/>
    <cfRule type="duplicateValues" dxfId="75" priority="178"/>
    <cfRule type="duplicateValues" dxfId="74" priority="174"/>
    <cfRule type="duplicateValues" dxfId="73" priority="162"/>
  </conditionalFormatting>
  <conditionalFormatting sqref="B83:B86">
    <cfRule type="duplicateValues" dxfId="72" priority="153"/>
    <cfRule type="duplicateValues" dxfId="71" priority="151"/>
    <cfRule type="duplicateValues" dxfId="70" priority="150"/>
    <cfRule type="duplicateValues" dxfId="69" priority="152"/>
    <cfRule type="duplicateValues" dxfId="68" priority="154"/>
    <cfRule type="duplicateValues" dxfId="67" priority="155"/>
  </conditionalFormatting>
  <conditionalFormatting sqref="B87:B1048576 B1:B3 B34:B41">
    <cfRule type="duplicateValues" dxfId="66" priority="417"/>
  </conditionalFormatting>
  <conditionalFormatting sqref="B87:B1048576 B40:B41 B1:B2">
    <cfRule type="duplicateValues" dxfId="65" priority="1757"/>
  </conditionalFormatting>
  <conditionalFormatting sqref="B87:B1048576 B40:B41 B1:B3">
    <cfRule type="duplicateValues" dxfId="64" priority="1760"/>
  </conditionalFormatting>
  <conditionalFormatting sqref="B87:B1048576 B40:B41">
    <cfRule type="duplicateValues" dxfId="63" priority="1763"/>
  </conditionalFormatting>
  <conditionalFormatting sqref="E58:E59 B55:B57">
    <cfRule type="duplicateValues" dxfId="62" priority="69"/>
  </conditionalFormatting>
  <conditionalFormatting sqref="E58:E59">
    <cfRule type="duplicateValues" dxfId="61" priority="66"/>
    <cfRule type="duplicateValues" dxfId="60" priority="68"/>
    <cfRule type="duplicateValues" dxfId="59" priority="64"/>
    <cfRule type="duplicateValues" dxfId="58" priority="67"/>
    <cfRule type="duplicateValues" dxfId="57" priority="65"/>
  </conditionalFormatting>
  <conditionalFormatting sqref="G55:G67">
    <cfRule type="cellIs" dxfId="56" priority="4" operator="equal">
      <formula>"DOMINGO"</formula>
    </cfRule>
    <cfRule type="cellIs" dxfId="55" priority="5" operator="equal">
      <formula>"SABADO"</formula>
    </cfRule>
  </conditionalFormatting>
  <conditionalFormatting sqref="G72">
    <cfRule type="cellIs" dxfId="54" priority="187" operator="equal">
      <formula>"DOMINGO"</formula>
    </cfRule>
    <cfRule type="cellIs" dxfId="53" priority="188" operator="equal">
      <formula>"SABADO"</formula>
    </cfRule>
  </conditionalFormatting>
  <conditionalFormatting sqref="G83:G86">
    <cfRule type="cellIs" dxfId="52" priority="149" operator="equal">
      <formula>SABADO</formula>
    </cfRule>
    <cfRule type="cellIs" dxfId="51" priority="148" operator="equal">
      <formula>"DOMINGO"</formula>
    </cfRule>
    <cfRule type="cellIs" dxfId="50" priority="147" operator="equal">
      <formula>"SABADO"</formula>
    </cfRule>
  </conditionalFormatting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Y317"/>
  <sheetViews>
    <sheetView showGridLines="0" topLeftCell="E1" zoomScale="90" zoomScaleNormal="90" workbookViewId="0">
      <selection activeCell="X1" sqref="X1:X1048576"/>
    </sheetView>
  </sheetViews>
  <sheetFormatPr baseColWidth="10" defaultColWidth="34.54296875" defaultRowHeight="12" outlineLevelCol="1" x14ac:dyDescent="0.3"/>
  <cols>
    <col min="1" max="1" width="9.1796875" style="28" bestFit="1" customWidth="1"/>
    <col min="2" max="2" width="23.54296875" style="28" customWidth="1" outlineLevel="1"/>
    <col min="3" max="3" width="10.7265625" style="31" customWidth="1" outlineLevel="1"/>
    <col min="4" max="4" width="11.26953125" style="28" customWidth="1" outlineLevel="1"/>
    <col min="5" max="5" width="26.54296875" style="31" customWidth="1" outlineLevel="1"/>
    <col min="6" max="6" width="27.453125" style="31" customWidth="1" outlineLevel="1"/>
    <col min="7" max="7" width="15.54296875" style="31" customWidth="1"/>
    <col min="8" max="8" width="9.7265625" style="28" bestFit="1" customWidth="1"/>
    <col min="9" max="9" width="11.26953125" style="28" hidden="1" customWidth="1"/>
    <col min="10" max="10" width="10.54296875" style="28" hidden="1" customWidth="1"/>
    <col min="11" max="11" width="11.1796875" style="28" hidden="1" customWidth="1"/>
    <col min="12" max="12" width="10.7265625" style="74" hidden="1" customWidth="1"/>
    <col min="13" max="13" width="11.453125" style="28" hidden="1" customWidth="1"/>
    <col min="14" max="14" width="11" style="28" hidden="1" customWidth="1"/>
    <col min="15" max="15" width="11.54296875" style="28" hidden="1" customWidth="1"/>
    <col min="16" max="16" width="9.81640625" style="28" hidden="1" customWidth="1"/>
    <col min="17" max="17" width="10.1796875" style="28" hidden="1" customWidth="1"/>
    <col min="18" max="18" width="15.453125" style="28" hidden="1" customWidth="1"/>
    <col min="19" max="19" width="0" style="28" hidden="1" customWidth="1"/>
    <col min="20" max="20" width="9.81640625" style="28" hidden="1" customWidth="1"/>
    <col min="21" max="21" width="6.26953125" style="28" hidden="1" customWidth="1"/>
    <col min="22" max="22" width="0" style="28" hidden="1" customWidth="1"/>
    <col min="23" max="23" width="10.26953125" style="28" bestFit="1" customWidth="1"/>
    <col min="24" max="24" width="0" style="28" hidden="1" customWidth="1"/>
    <col min="25" max="16384" width="34.54296875" style="28"/>
  </cols>
  <sheetData>
    <row r="1" spans="1:25" s="25" customFormat="1" x14ac:dyDescent="0.3">
      <c r="A1" s="29" t="s">
        <v>1</v>
      </c>
      <c r="B1" s="14" t="s">
        <v>2</v>
      </c>
      <c r="C1" s="14" t="s">
        <v>3</v>
      </c>
      <c r="D1" s="14" t="s">
        <v>559</v>
      </c>
      <c r="E1" s="14" t="s">
        <v>4</v>
      </c>
      <c r="F1" s="14" t="s">
        <v>545</v>
      </c>
      <c r="G1" s="23" t="s">
        <v>910</v>
      </c>
      <c r="H1" s="14" t="s">
        <v>403</v>
      </c>
      <c r="I1" s="354">
        <v>45597</v>
      </c>
      <c r="J1" s="354">
        <v>45627</v>
      </c>
      <c r="K1" s="354">
        <v>45658</v>
      </c>
      <c r="L1" s="448">
        <v>45689</v>
      </c>
      <c r="M1" s="354">
        <v>45717</v>
      </c>
      <c r="N1" s="354">
        <v>45748</v>
      </c>
      <c r="O1" s="354">
        <v>45778</v>
      </c>
      <c r="P1" s="354">
        <v>45809</v>
      </c>
      <c r="Q1" s="354">
        <v>45839</v>
      </c>
      <c r="R1" s="354">
        <v>45870</v>
      </c>
      <c r="S1" s="354">
        <v>45901</v>
      </c>
      <c r="T1" s="354">
        <v>45931</v>
      </c>
      <c r="U1" s="354">
        <v>45962</v>
      </c>
      <c r="V1" s="354">
        <v>45992</v>
      </c>
      <c r="W1" s="354">
        <v>46023</v>
      </c>
      <c r="X1" s="354">
        <v>46054</v>
      </c>
      <c r="Y1" s="354">
        <v>46082</v>
      </c>
    </row>
    <row r="2" spans="1:25" x14ac:dyDescent="0.3">
      <c r="A2" s="29" t="s">
        <v>5</v>
      </c>
      <c r="B2" s="388" t="s">
        <v>6</v>
      </c>
      <c r="C2" s="389" t="s">
        <v>26</v>
      </c>
      <c r="D2" s="388" t="s">
        <v>554</v>
      </c>
      <c r="E2" s="75" t="s">
        <v>684</v>
      </c>
      <c r="F2" s="75" t="s">
        <v>911</v>
      </c>
      <c r="G2" s="392" t="s">
        <v>25</v>
      </c>
      <c r="H2" s="388">
        <v>3</v>
      </c>
      <c r="P2" s="28">
        <v>3</v>
      </c>
    </row>
    <row r="3" spans="1:25" x14ac:dyDescent="0.3">
      <c r="A3" s="29" t="s">
        <v>5</v>
      </c>
      <c r="B3" s="388" t="s">
        <v>6</v>
      </c>
      <c r="C3" s="389" t="s">
        <v>26</v>
      </c>
      <c r="D3" s="388" t="s">
        <v>554</v>
      </c>
      <c r="E3" s="75" t="s">
        <v>665</v>
      </c>
      <c r="F3" s="75" t="s">
        <v>912</v>
      </c>
      <c r="G3" s="392" t="s">
        <v>37</v>
      </c>
      <c r="H3" s="388">
        <v>4</v>
      </c>
    </row>
    <row r="4" spans="1:25" x14ac:dyDescent="0.3">
      <c r="A4" s="353" t="s">
        <v>5</v>
      </c>
      <c r="B4" s="388" t="s">
        <v>6</v>
      </c>
      <c r="C4" s="389" t="s">
        <v>26</v>
      </c>
      <c r="D4" s="388" t="s">
        <v>554</v>
      </c>
      <c r="E4" s="75" t="s">
        <v>687</v>
      </c>
      <c r="F4" s="75" t="s">
        <v>358</v>
      </c>
      <c r="G4" s="392" t="s">
        <v>35</v>
      </c>
      <c r="H4" s="388">
        <v>4</v>
      </c>
      <c r="O4" s="28">
        <v>4</v>
      </c>
    </row>
    <row r="5" spans="1:25" x14ac:dyDescent="0.3">
      <c r="A5" s="353" t="s">
        <v>5</v>
      </c>
      <c r="B5" s="388" t="s">
        <v>6</v>
      </c>
      <c r="C5" s="389" t="s">
        <v>26</v>
      </c>
      <c r="D5" s="388" t="s">
        <v>554</v>
      </c>
      <c r="E5" s="75" t="s">
        <v>764</v>
      </c>
      <c r="F5" s="75" t="s">
        <v>765</v>
      </c>
      <c r="G5" s="392" t="s">
        <v>39</v>
      </c>
      <c r="H5" s="388">
        <v>4</v>
      </c>
    </row>
    <row r="6" spans="1:25" x14ac:dyDescent="0.3">
      <c r="A6" s="353" t="s">
        <v>5</v>
      </c>
      <c r="B6" s="388" t="s">
        <v>6</v>
      </c>
      <c r="C6" s="389" t="s">
        <v>26</v>
      </c>
      <c r="D6" s="388" t="s">
        <v>554</v>
      </c>
      <c r="E6" s="75" t="s">
        <v>686</v>
      </c>
      <c r="F6" s="75" t="s">
        <v>913</v>
      </c>
      <c r="G6" s="392" t="s">
        <v>38</v>
      </c>
      <c r="H6" s="388">
        <v>4</v>
      </c>
    </row>
    <row r="7" spans="1:25" x14ac:dyDescent="0.3">
      <c r="A7" s="353" t="s">
        <v>5</v>
      </c>
      <c r="B7" s="388" t="s">
        <v>6</v>
      </c>
      <c r="C7" s="389" t="s">
        <v>26</v>
      </c>
      <c r="D7" s="388" t="s">
        <v>554</v>
      </c>
      <c r="E7" s="75" t="s">
        <v>686</v>
      </c>
      <c r="F7" s="75" t="s">
        <v>359</v>
      </c>
      <c r="G7" s="392" t="s">
        <v>41</v>
      </c>
      <c r="H7" s="388">
        <v>4</v>
      </c>
      <c r="P7" s="28">
        <v>4</v>
      </c>
    </row>
    <row r="8" spans="1:25" x14ac:dyDescent="0.3">
      <c r="A8" s="353" t="s">
        <v>5</v>
      </c>
      <c r="B8" s="388" t="s">
        <v>6</v>
      </c>
      <c r="C8" s="389" t="s">
        <v>26</v>
      </c>
      <c r="D8" s="388" t="s">
        <v>554</v>
      </c>
      <c r="E8" s="75" t="s">
        <v>665</v>
      </c>
      <c r="F8" s="75" t="s">
        <v>666</v>
      </c>
      <c r="G8" s="392" t="s">
        <v>34</v>
      </c>
      <c r="H8" s="388">
        <v>4</v>
      </c>
      <c r="T8" s="28">
        <v>4</v>
      </c>
    </row>
    <row r="9" spans="1:25" x14ac:dyDescent="0.3">
      <c r="A9" s="74" t="s">
        <v>5</v>
      </c>
      <c r="B9" s="388" t="s">
        <v>6</v>
      </c>
      <c r="C9" s="389" t="s">
        <v>26</v>
      </c>
      <c r="D9" s="388" t="s">
        <v>554</v>
      </c>
      <c r="E9" s="75" t="s">
        <v>810</v>
      </c>
      <c r="F9" s="75" t="s">
        <v>914</v>
      </c>
      <c r="G9" s="75" t="s">
        <v>418</v>
      </c>
      <c r="H9" s="388">
        <v>4</v>
      </c>
      <c r="I9" s="74">
        <v>4</v>
      </c>
    </row>
    <row r="10" spans="1:25" x14ac:dyDescent="0.3">
      <c r="A10" s="353" t="s">
        <v>5</v>
      </c>
      <c r="B10" s="388" t="s">
        <v>6</v>
      </c>
      <c r="C10" s="389" t="s">
        <v>26</v>
      </c>
      <c r="D10" s="388" t="s">
        <v>554</v>
      </c>
      <c r="E10" s="75" t="s">
        <v>965</v>
      </c>
      <c r="F10" s="75" t="s">
        <v>360</v>
      </c>
      <c r="G10" s="392" t="s">
        <v>47</v>
      </c>
      <c r="H10" s="388">
        <v>4</v>
      </c>
      <c r="O10" s="28">
        <v>4</v>
      </c>
    </row>
    <row r="11" spans="1:25" x14ac:dyDescent="0.3">
      <c r="A11" s="353" t="s">
        <v>5</v>
      </c>
      <c r="B11" s="388" t="s">
        <v>6</v>
      </c>
      <c r="C11" s="389" t="s">
        <v>26</v>
      </c>
      <c r="D11" s="388" t="s">
        <v>554</v>
      </c>
      <c r="E11" s="75" t="s">
        <v>619</v>
      </c>
      <c r="F11" s="75" t="s">
        <v>620</v>
      </c>
      <c r="G11" s="392" t="s">
        <v>420</v>
      </c>
      <c r="H11" s="388">
        <v>3</v>
      </c>
      <c r="O11" s="28">
        <v>3</v>
      </c>
    </row>
    <row r="12" spans="1:25" x14ac:dyDescent="0.3">
      <c r="A12" s="353" t="s">
        <v>5</v>
      </c>
      <c r="B12" s="388" t="s">
        <v>6</v>
      </c>
      <c r="C12" s="389" t="s">
        <v>26</v>
      </c>
      <c r="D12" s="388" t="s">
        <v>554</v>
      </c>
      <c r="E12" s="75" t="s">
        <v>738</v>
      </c>
      <c r="F12" s="75" t="s">
        <v>40</v>
      </c>
      <c r="G12" s="392" t="s">
        <v>421</v>
      </c>
      <c r="H12" s="388">
        <v>3</v>
      </c>
      <c r="N12" s="28">
        <v>3</v>
      </c>
      <c r="T12" s="28">
        <v>3</v>
      </c>
    </row>
    <row r="13" spans="1:25" x14ac:dyDescent="0.3">
      <c r="A13" s="353" t="s">
        <v>5</v>
      </c>
      <c r="B13" s="388" t="s">
        <v>6</v>
      </c>
      <c r="C13" s="389" t="s">
        <v>26</v>
      </c>
      <c r="D13" s="388" t="s">
        <v>554</v>
      </c>
      <c r="E13" s="75" t="s">
        <v>684</v>
      </c>
      <c r="F13" s="75" t="s">
        <v>351</v>
      </c>
      <c r="G13" s="392" t="s">
        <v>27</v>
      </c>
      <c r="H13" s="388">
        <v>3</v>
      </c>
      <c r="P13" s="28">
        <v>3</v>
      </c>
    </row>
    <row r="14" spans="1:25" x14ac:dyDescent="0.3">
      <c r="A14" s="353" t="s">
        <v>5</v>
      </c>
      <c r="B14" s="388" t="s">
        <v>6</v>
      </c>
      <c r="C14" s="389" t="s">
        <v>26</v>
      </c>
      <c r="D14" s="388" t="s">
        <v>554</v>
      </c>
      <c r="E14" s="75" t="s">
        <v>740</v>
      </c>
      <c r="F14" s="75" t="s">
        <v>741</v>
      </c>
      <c r="G14" s="392" t="s">
        <v>417</v>
      </c>
      <c r="H14" s="388">
        <v>4</v>
      </c>
      <c r="O14" s="28">
        <v>4</v>
      </c>
    </row>
    <row r="15" spans="1:25" x14ac:dyDescent="0.3">
      <c r="A15" s="353" t="s">
        <v>5</v>
      </c>
      <c r="B15" s="388" t="s">
        <v>6</v>
      </c>
      <c r="C15" s="389" t="s">
        <v>26</v>
      </c>
      <c r="D15" s="388" t="s">
        <v>554</v>
      </c>
      <c r="E15" s="75" t="s">
        <v>742</v>
      </c>
      <c r="F15" s="75" t="s">
        <v>361</v>
      </c>
      <c r="G15" s="392" t="s">
        <v>416</v>
      </c>
      <c r="H15" s="388">
        <v>4</v>
      </c>
      <c r="O15" s="28">
        <v>4</v>
      </c>
    </row>
    <row r="16" spans="1:25" x14ac:dyDescent="0.3">
      <c r="A16" s="353" t="s">
        <v>5</v>
      </c>
      <c r="B16" s="388" t="s">
        <v>6</v>
      </c>
      <c r="C16" s="389" t="s">
        <v>26</v>
      </c>
      <c r="D16" s="388" t="s">
        <v>554</v>
      </c>
      <c r="E16" s="75" t="s">
        <v>745</v>
      </c>
      <c r="F16" s="75" t="s">
        <v>362</v>
      </c>
      <c r="G16" s="392" t="s">
        <v>419</v>
      </c>
      <c r="H16" s="388">
        <v>4</v>
      </c>
      <c r="J16" s="28">
        <v>4</v>
      </c>
    </row>
    <row r="17" spans="1:23" s="74" customFormat="1" ht="13" x14ac:dyDescent="0.3">
      <c r="A17" s="74" t="s">
        <v>5</v>
      </c>
      <c r="B17" s="388" t="s">
        <v>6</v>
      </c>
      <c r="C17" s="389" t="s">
        <v>26</v>
      </c>
      <c r="D17" s="388" t="s">
        <v>554</v>
      </c>
      <c r="E17" s="75" t="s">
        <v>567</v>
      </c>
      <c r="F17" s="75" t="s">
        <v>915</v>
      </c>
      <c r="G17" s="504" t="s">
        <v>1598</v>
      </c>
      <c r="H17" s="388">
        <v>1</v>
      </c>
      <c r="I17" s="74">
        <v>1</v>
      </c>
      <c r="J17" s="74">
        <v>1</v>
      </c>
      <c r="K17" s="420">
        <v>1</v>
      </c>
      <c r="L17" s="420">
        <v>1</v>
      </c>
      <c r="M17" s="74">
        <v>1</v>
      </c>
      <c r="N17" s="74">
        <v>1</v>
      </c>
      <c r="O17" s="74">
        <v>1</v>
      </c>
      <c r="P17" s="74">
        <v>1</v>
      </c>
      <c r="Q17" s="74">
        <v>1</v>
      </c>
      <c r="R17" s="74">
        <v>1</v>
      </c>
      <c r="S17" s="74">
        <v>1</v>
      </c>
      <c r="T17" s="74">
        <v>1</v>
      </c>
      <c r="U17" s="74">
        <v>1</v>
      </c>
      <c r="V17" s="74">
        <v>1</v>
      </c>
      <c r="W17" s="74">
        <v>1</v>
      </c>
    </row>
    <row r="18" spans="1:23" s="74" customFormat="1" ht="13" x14ac:dyDescent="0.3">
      <c r="A18" s="74" t="s">
        <v>5</v>
      </c>
      <c r="B18" s="388" t="s">
        <v>6</v>
      </c>
      <c r="C18" s="389" t="s">
        <v>26</v>
      </c>
      <c r="D18" s="388" t="s">
        <v>554</v>
      </c>
      <c r="E18" s="75" t="s">
        <v>567</v>
      </c>
      <c r="F18" s="75" t="s">
        <v>916</v>
      </c>
      <c r="G18" s="504" t="s">
        <v>1599</v>
      </c>
      <c r="H18" s="388">
        <v>1</v>
      </c>
      <c r="I18" s="74">
        <v>1</v>
      </c>
      <c r="J18" s="74">
        <v>1</v>
      </c>
      <c r="K18" s="420">
        <v>1</v>
      </c>
      <c r="L18" s="420">
        <v>1</v>
      </c>
      <c r="M18" s="74">
        <v>1</v>
      </c>
      <c r="N18" s="74">
        <v>1</v>
      </c>
      <c r="O18" s="74">
        <v>1</v>
      </c>
      <c r="P18" s="74">
        <v>1</v>
      </c>
      <c r="Q18" s="74">
        <v>1</v>
      </c>
      <c r="R18" s="74">
        <v>1</v>
      </c>
      <c r="S18" s="74">
        <v>1</v>
      </c>
      <c r="T18" s="74">
        <v>1</v>
      </c>
      <c r="U18" s="74">
        <v>1</v>
      </c>
      <c r="V18" s="74">
        <v>1</v>
      </c>
      <c r="W18" s="74">
        <v>1</v>
      </c>
    </row>
    <row r="19" spans="1:23" s="74" customFormat="1" ht="13" x14ac:dyDescent="0.3">
      <c r="A19" s="74" t="s">
        <v>5</v>
      </c>
      <c r="B19" s="388" t="s">
        <v>6</v>
      </c>
      <c r="C19" s="389" t="s">
        <v>26</v>
      </c>
      <c r="D19" s="388" t="s">
        <v>554</v>
      </c>
      <c r="E19" s="75" t="s">
        <v>567</v>
      </c>
      <c r="F19" s="75" t="s">
        <v>572</v>
      </c>
      <c r="G19" s="504" t="s">
        <v>1601</v>
      </c>
      <c r="H19" s="388">
        <v>1</v>
      </c>
      <c r="I19" s="74">
        <v>1</v>
      </c>
      <c r="J19" s="74">
        <v>1</v>
      </c>
      <c r="K19" s="420">
        <v>1</v>
      </c>
      <c r="L19" s="420">
        <v>1</v>
      </c>
      <c r="M19" s="74">
        <v>1</v>
      </c>
      <c r="N19" s="74">
        <v>1</v>
      </c>
      <c r="O19" s="74">
        <v>1</v>
      </c>
      <c r="P19" s="74">
        <v>1</v>
      </c>
      <c r="Q19" s="74">
        <v>1</v>
      </c>
      <c r="R19" s="74">
        <v>1</v>
      </c>
      <c r="S19" s="74">
        <v>1</v>
      </c>
      <c r="T19" s="74">
        <v>1</v>
      </c>
      <c r="U19" s="74">
        <v>1</v>
      </c>
      <c r="V19" s="74">
        <v>1</v>
      </c>
      <c r="W19" s="74">
        <v>1</v>
      </c>
    </row>
    <row r="20" spans="1:23" s="74" customFormat="1" ht="13" x14ac:dyDescent="0.3">
      <c r="A20" s="74" t="s">
        <v>5</v>
      </c>
      <c r="B20" s="388" t="s">
        <v>6</v>
      </c>
      <c r="C20" s="389" t="s">
        <v>26</v>
      </c>
      <c r="D20" s="388" t="s">
        <v>554</v>
      </c>
      <c r="E20" s="75" t="s">
        <v>571</v>
      </c>
      <c r="F20" s="75" t="s">
        <v>918</v>
      </c>
      <c r="G20" s="504" t="s">
        <v>1600</v>
      </c>
      <c r="H20" s="388">
        <v>1</v>
      </c>
      <c r="I20" s="74">
        <v>1</v>
      </c>
      <c r="J20" s="74">
        <v>1</v>
      </c>
      <c r="K20" s="420">
        <v>1</v>
      </c>
      <c r="L20" s="420">
        <v>1</v>
      </c>
      <c r="M20" s="74">
        <v>1</v>
      </c>
      <c r="N20" s="74">
        <v>1</v>
      </c>
      <c r="O20" s="74">
        <v>1</v>
      </c>
      <c r="P20" s="74">
        <v>1</v>
      </c>
      <c r="Q20" s="74">
        <v>1</v>
      </c>
      <c r="R20" s="74">
        <v>1</v>
      </c>
      <c r="S20" s="74">
        <v>1</v>
      </c>
      <c r="T20" s="74">
        <v>1</v>
      </c>
      <c r="U20" s="74">
        <v>1</v>
      </c>
      <c r="V20" s="74">
        <v>1</v>
      </c>
      <c r="W20" s="74">
        <v>1</v>
      </c>
    </row>
    <row r="21" spans="1:23" x14ac:dyDescent="0.3">
      <c r="A21" s="353" t="s">
        <v>5</v>
      </c>
      <c r="B21" s="388" t="s">
        <v>6</v>
      </c>
      <c r="C21" s="389" t="s">
        <v>26</v>
      </c>
      <c r="D21" s="388" t="s">
        <v>554</v>
      </c>
      <c r="E21" s="75" t="s">
        <v>568</v>
      </c>
      <c r="F21" s="75" t="s">
        <v>917</v>
      </c>
      <c r="G21" s="392" t="s">
        <v>28</v>
      </c>
      <c r="H21" s="388">
        <v>3</v>
      </c>
      <c r="O21" s="28">
        <v>3</v>
      </c>
    </row>
    <row r="22" spans="1:23" x14ac:dyDescent="0.3">
      <c r="A22" s="353" t="s">
        <v>5</v>
      </c>
      <c r="B22" s="388" t="s">
        <v>6</v>
      </c>
      <c r="C22" s="389" t="s">
        <v>26</v>
      </c>
      <c r="D22" s="388" t="s">
        <v>554</v>
      </c>
      <c r="E22" s="75" t="s">
        <v>746</v>
      </c>
      <c r="F22" s="75" t="s">
        <v>352</v>
      </c>
      <c r="G22" s="392" t="s">
        <v>29</v>
      </c>
      <c r="H22" s="388">
        <v>4</v>
      </c>
      <c r="T22" s="28">
        <v>4</v>
      </c>
    </row>
    <row r="23" spans="1:23" x14ac:dyDescent="0.3">
      <c r="A23" s="353" t="s">
        <v>5</v>
      </c>
      <c r="B23" s="388" t="s">
        <v>6</v>
      </c>
      <c r="C23" s="389" t="s">
        <v>26</v>
      </c>
      <c r="D23" s="388" t="s">
        <v>554</v>
      </c>
      <c r="E23" s="75" t="s">
        <v>748</v>
      </c>
      <c r="F23" s="75" t="s">
        <v>353</v>
      </c>
      <c r="G23" s="392" t="s">
        <v>31</v>
      </c>
      <c r="H23" s="388">
        <v>4</v>
      </c>
      <c r="Q23" s="28">
        <v>4</v>
      </c>
    </row>
    <row r="24" spans="1:23" x14ac:dyDescent="0.3">
      <c r="A24" s="353" t="s">
        <v>5</v>
      </c>
      <c r="B24" s="388" t="s">
        <v>6</v>
      </c>
      <c r="C24" s="389" t="s">
        <v>26</v>
      </c>
      <c r="D24" s="388" t="s">
        <v>554</v>
      </c>
      <c r="E24" s="75" t="s">
        <v>811</v>
      </c>
      <c r="F24" s="75" t="s">
        <v>354</v>
      </c>
      <c r="G24" s="392" t="s">
        <v>32</v>
      </c>
      <c r="H24" s="388">
        <v>4</v>
      </c>
      <c r="Q24" s="28">
        <v>4</v>
      </c>
    </row>
    <row r="25" spans="1:23" x14ac:dyDescent="0.3">
      <c r="A25" s="353" t="s">
        <v>5</v>
      </c>
      <c r="B25" s="388" t="s">
        <v>6</v>
      </c>
      <c r="C25" s="389" t="s">
        <v>26</v>
      </c>
      <c r="D25" s="388" t="s">
        <v>554</v>
      </c>
      <c r="E25" s="75" t="s">
        <v>812</v>
      </c>
      <c r="F25" s="75" t="s">
        <v>355</v>
      </c>
      <c r="G25" s="392" t="s">
        <v>36</v>
      </c>
      <c r="H25" s="388">
        <v>4</v>
      </c>
      <c r="T25" s="28">
        <v>4</v>
      </c>
    </row>
    <row r="26" spans="1:23" x14ac:dyDescent="0.3">
      <c r="A26" s="353" t="s">
        <v>5</v>
      </c>
      <c r="B26" s="388" t="s">
        <v>6</v>
      </c>
      <c r="C26" s="389" t="s">
        <v>26</v>
      </c>
      <c r="D26" s="388" t="s">
        <v>554</v>
      </c>
      <c r="E26" s="75" t="s">
        <v>813</v>
      </c>
      <c r="F26" s="75" t="s">
        <v>356</v>
      </c>
      <c r="G26" s="392" t="s">
        <v>33</v>
      </c>
      <c r="H26" s="388">
        <v>4</v>
      </c>
      <c r="P26" s="28">
        <v>4</v>
      </c>
    </row>
    <row r="27" spans="1:23" x14ac:dyDescent="0.3">
      <c r="A27" s="353" t="s">
        <v>5</v>
      </c>
      <c r="B27" s="388" t="s">
        <v>6</v>
      </c>
      <c r="C27" s="389" t="s">
        <v>26</v>
      </c>
      <c r="D27" s="388" t="s">
        <v>554</v>
      </c>
      <c r="E27" s="75" t="s">
        <v>814</v>
      </c>
      <c r="F27" s="75" t="s">
        <v>357</v>
      </c>
      <c r="G27" s="392" t="s">
        <v>46</v>
      </c>
      <c r="H27" s="388">
        <v>4</v>
      </c>
      <c r="P27" s="28">
        <v>4</v>
      </c>
    </row>
    <row r="28" spans="1:23" x14ac:dyDescent="0.3">
      <c r="A28" s="353" t="s">
        <v>5</v>
      </c>
      <c r="B28" s="388" t="s">
        <v>6</v>
      </c>
      <c r="C28" s="389" t="s">
        <v>26</v>
      </c>
      <c r="D28" s="388" t="s">
        <v>554</v>
      </c>
      <c r="E28" s="75" t="s">
        <v>965</v>
      </c>
      <c r="F28" s="75" t="s">
        <v>919</v>
      </c>
      <c r="G28" s="392" t="s">
        <v>921</v>
      </c>
      <c r="H28" s="388">
        <v>4</v>
      </c>
      <c r="S28" s="28">
        <v>4</v>
      </c>
    </row>
    <row r="29" spans="1:23" x14ac:dyDescent="0.3">
      <c r="A29" s="353" t="s">
        <v>5</v>
      </c>
      <c r="B29" s="388" t="s">
        <v>6</v>
      </c>
      <c r="C29" s="389" t="s">
        <v>26</v>
      </c>
      <c r="D29" s="388" t="s">
        <v>554</v>
      </c>
      <c r="E29" s="75" t="s">
        <v>966</v>
      </c>
      <c r="F29" s="75" t="s">
        <v>922</v>
      </c>
      <c r="G29" s="392" t="s">
        <v>920</v>
      </c>
      <c r="H29" s="388">
        <v>4</v>
      </c>
    </row>
    <row r="30" spans="1:23" x14ac:dyDescent="0.3">
      <c r="A30" s="353" t="s">
        <v>5</v>
      </c>
      <c r="B30" s="388" t="s">
        <v>6</v>
      </c>
      <c r="C30" s="389" t="s">
        <v>49</v>
      </c>
      <c r="D30" s="388" t="s">
        <v>554</v>
      </c>
      <c r="E30" s="75" t="s">
        <v>754</v>
      </c>
      <c r="F30" s="75" t="s">
        <v>50</v>
      </c>
      <c r="G30" s="392" t="s">
        <v>48</v>
      </c>
      <c r="H30" s="388">
        <v>4</v>
      </c>
      <c r="O30" s="28">
        <v>4</v>
      </c>
    </row>
    <row r="31" spans="1:23" x14ac:dyDescent="0.3">
      <c r="A31" s="353" t="s">
        <v>5</v>
      </c>
      <c r="B31" s="74" t="s">
        <v>6</v>
      </c>
      <c r="C31" s="389" t="s">
        <v>49</v>
      </c>
      <c r="D31" s="388" t="s">
        <v>554</v>
      </c>
      <c r="E31" s="75" t="s">
        <v>756</v>
      </c>
      <c r="F31" s="75" t="s">
        <v>368</v>
      </c>
      <c r="G31" s="392" t="s">
        <v>61</v>
      </c>
      <c r="H31" s="388">
        <v>4</v>
      </c>
      <c r="R31" s="28">
        <v>4</v>
      </c>
    </row>
    <row r="32" spans="1:23" x14ac:dyDescent="0.3">
      <c r="A32" s="353" t="s">
        <v>5</v>
      </c>
      <c r="B32" s="74" t="s">
        <v>6</v>
      </c>
      <c r="C32" s="389" t="s">
        <v>49</v>
      </c>
      <c r="D32" s="388" t="s">
        <v>554</v>
      </c>
      <c r="E32" s="75" t="s">
        <v>815</v>
      </c>
      <c r="F32" s="75" t="s">
        <v>369</v>
      </c>
      <c r="G32" s="392" t="s">
        <v>62</v>
      </c>
      <c r="H32" s="388">
        <v>4</v>
      </c>
      <c r="K32" s="420">
        <v>4</v>
      </c>
      <c r="R32" s="28">
        <v>4</v>
      </c>
    </row>
    <row r="33" spans="1:24" x14ac:dyDescent="0.3">
      <c r="A33" s="353" t="s">
        <v>5</v>
      </c>
      <c r="B33" s="74" t="s">
        <v>6</v>
      </c>
      <c r="C33" s="389" t="s">
        <v>49</v>
      </c>
      <c r="D33" s="388" t="s">
        <v>554</v>
      </c>
      <c r="E33" s="75" t="s">
        <v>758</v>
      </c>
      <c r="F33" s="75" t="s">
        <v>370</v>
      </c>
      <c r="G33" s="392" t="s">
        <v>63</v>
      </c>
      <c r="H33" s="388">
        <v>4</v>
      </c>
      <c r="R33" s="28">
        <v>4</v>
      </c>
      <c r="X33" s="28">
        <v>4</v>
      </c>
    </row>
    <row r="34" spans="1:24" x14ac:dyDescent="0.3">
      <c r="A34" s="353" t="s">
        <v>5</v>
      </c>
      <c r="B34" s="74" t="s">
        <v>6</v>
      </c>
      <c r="C34" s="389" t="s">
        <v>49</v>
      </c>
      <c r="D34" s="388" t="s">
        <v>554</v>
      </c>
      <c r="E34" s="75" t="s">
        <v>760</v>
      </c>
      <c r="F34" s="75" t="s">
        <v>371</v>
      </c>
      <c r="G34" s="392" t="s">
        <v>64</v>
      </c>
      <c r="H34" s="388">
        <v>4</v>
      </c>
      <c r="R34" s="28">
        <v>4</v>
      </c>
    </row>
    <row r="35" spans="1:24" x14ac:dyDescent="0.3">
      <c r="A35" s="353" t="s">
        <v>5</v>
      </c>
      <c r="B35" s="74" t="s">
        <v>6</v>
      </c>
      <c r="C35" s="389" t="s">
        <v>49</v>
      </c>
      <c r="D35" s="388" t="s">
        <v>554</v>
      </c>
      <c r="E35" s="75" t="s">
        <v>629</v>
      </c>
      <c r="F35" s="75" t="s">
        <v>630</v>
      </c>
      <c r="G35" s="392" t="s">
        <v>65</v>
      </c>
      <c r="H35" s="388">
        <v>3</v>
      </c>
      <c r="O35" s="28">
        <v>3</v>
      </c>
    </row>
    <row r="36" spans="1:24" x14ac:dyDescent="0.3">
      <c r="A36" s="353" t="s">
        <v>5</v>
      </c>
      <c r="B36" s="74" t="s">
        <v>6</v>
      </c>
      <c r="C36" s="389" t="s">
        <v>49</v>
      </c>
      <c r="D36" s="388" t="s">
        <v>554</v>
      </c>
      <c r="E36" s="75" t="s">
        <v>631</v>
      </c>
      <c r="F36" s="75" t="s">
        <v>632</v>
      </c>
      <c r="G36" s="392" t="s">
        <v>66</v>
      </c>
      <c r="H36" s="388">
        <v>3</v>
      </c>
      <c r="O36" s="28">
        <v>3</v>
      </c>
    </row>
    <row r="37" spans="1:24" x14ac:dyDescent="0.3">
      <c r="A37" s="353" t="s">
        <v>5</v>
      </c>
      <c r="B37" s="74" t="s">
        <v>6</v>
      </c>
      <c r="C37" s="389" t="s">
        <v>49</v>
      </c>
      <c r="D37" s="388" t="s">
        <v>554</v>
      </c>
      <c r="E37" s="75" t="s">
        <v>633</v>
      </c>
      <c r="F37" s="75" t="s">
        <v>634</v>
      </c>
      <c r="G37" s="392" t="s">
        <v>67</v>
      </c>
      <c r="H37" s="388">
        <v>3</v>
      </c>
      <c r="O37" s="28">
        <v>3</v>
      </c>
    </row>
    <row r="38" spans="1:24" x14ac:dyDescent="0.3">
      <c r="A38" s="353" t="s">
        <v>5</v>
      </c>
      <c r="B38" s="388" t="s">
        <v>6</v>
      </c>
      <c r="C38" s="389" t="s">
        <v>49</v>
      </c>
      <c r="D38" s="388" t="s">
        <v>554</v>
      </c>
      <c r="E38" s="75" t="s">
        <v>816</v>
      </c>
      <c r="F38" s="75" t="s">
        <v>363</v>
      </c>
      <c r="G38" s="392" t="s">
        <v>51</v>
      </c>
      <c r="H38" s="388">
        <v>4</v>
      </c>
      <c r="U38" s="28">
        <v>4</v>
      </c>
    </row>
    <row r="39" spans="1:24" x14ac:dyDescent="0.3">
      <c r="A39" s="353" t="s">
        <v>5</v>
      </c>
      <c r="B39" s="388" t="s">
        <v>6</v>
      </c>
      <c r="C39" s="389" t="s">
        <v>49</v>
      </c>
      <c r="D39" s="388" t="s">
        <v>554</v>
      </c>
      <c r="E39" s="75" t="s">
        <v>817</v>
      </c>
      <c r="F39" s="75" t="s">
        <v>53</v>
      </c>
      <c r="G39" s="392" t="s">
        <v>52</v>
      </c>
      <c r="H39" s="388">
        <v>4</v>
      </c>
      <c r="T39" s="28">
        <v>4</v>
      </c>
      <c r="X39" s="28">
        <v>4</v>
      </c>
    </row>
    <row r="40" spans="1:24" x14ac:dyDescent="0.3">
      <c r="A40" s="353" t="s">
        <v>5</v>
      </c>
      <c r="B40" s="388" t="s">
        <v>6</v>
      </c>
      <c r="C40" s="389" t="s">
        <v>49</v>
      </c>
      <c r="D40" s="388" t="s">
        <v>554</v>
      </c>
      <c r="E40" s="75" t="s">
        <v>817</v>
      </c>
      <c r="F40" s="75" t="s">
        <v>55</v>
      </c>
      <c r="G40" s="392" t="s">
        <v>54</v>
      </c>
      <c r="H40" s="388">
        <v>4</v>
      </c>
      <c r="O40" s="28">
        <v>4</v>
      </c>
    </row>
    <row r="41" spans="1:24" x14ac:dyDescent="0.3">
      <c r="A41" s="420" t="s">
        <v>5</v>
      </c>
      <c r="B41" s="388" t="s">
        <v>6</v>
      </c>
      <c r="C41" s="389" t="s">
        <v>49</v>
      </c>
      <c r="D41" s="388" t="s">
        <v>554</v>
      </c>
      <c r="E41" s="75" t="s">
        <v>818</v>
      </c>
      <c r="F41" s="75" t="s">
        <v>364</v>
      </c>
      <c r="G41" s="75" t="s">
        <v>424</v>
      </c>
      <c r="H41" s="388">
        <v>4</v>
      </c>
      <c r="I41" s="74">
        <v>4</v>
      </c>
    </row>
    <row r="42" spans="1:24" x14ac:dyDescent="0.3">
      <c r="A42" s="353" t="s">
        <v>5</v>
      </c>
      <c r="B42" s="74" t="s">
        <v>6</v>
      </c>
      <c r="C42" s="389" t="s">
        <v>49</v>
      </c>
      <c r="D42" s="388" t="s">
        <v>554</v>
      </c>
      <c r="E42" s="75" t="s">
        <v>819</v>
      </c>
      <c r="F42" s="75" t="s">
        <v>60</v>
      </c>
      <c r="G42" s="75" t="s">
        <v>56</v>
      </c>
      <c r="H42" s="388">
        <v>4</v>
      </c>
      <c r="I42" s="74"/>
      <c r="R42" s="28">
        <v>4</v>
      </c>
      <c r="U42" s="28">
        <v>4</v>
      </c>
    </row>
    <row r="43" spans="1:24" x14ac:dyDescent="0.3">
      <c r="A43" s="353" t="s">
        <v>5</v>
      </c>
      <c r="B43" s="74" t="s">
        <v>6</v>
      </c>
      <c r="C43" s="389" t="s">
        <v>49</v>
      </c>
      <c r="D43" s="388" t="s">
        <v>554</v>
      </c>
      <c r="E43" s="75" t="s">
        <v>820</v>
      </c>
      <c r="F43" s="75" t="s">
        <v>365</v>
      </c>
      <c r="G43" s="75" t="s">
        <v>57</v>
      </c>
      <c r="H43" s="388">
        <v>4</v>
      </c>
      <c r="I43" s="74"/>
      <c r="K43" s="420">
        <v>4</v>
      </c>
      <c r="U43" s="28">
        <v>4</v>
      </c>
    </row>
    <row r="44" spans="1:24" x14ac:dyDescent="0.3">
      <c r="A44" s="353" t="s">
        <v>5</v>
      </c>
      <c r="B44" s="74" t="s">
        <v>6</v>
      </c>
      <c r="C44" s="389" t="s">
        <v>49</v>
      </c>
      <c r="D44" s="388" t="s">
        <v>554</v>
      </c>
      <c r="E44" s="75" t="s">
        <v>762</v>
      </c>
      <c r="F44" s="75" t="s">
        <v>366</v>
      </c>
      <c r="G44" s="75" t="s">
        <v>58</v>
      </c>
      <c r="H44" s="388">
        <v>4</v>
      </c>
      <c r="I44" s="74"/>
      <c r="K44" s="420">
        <v>4</v>
      </c>
    </row>
    <row r="45" spans="1:24" x14ac:dyDescent="0.3">
      <c r="A45" s="353" t="s">
        <v>5</v>
      </c>
      <c r="B45" s="74" t="s">
        <v>6</v>
      </c>
      <c r="C45" s="389" t="s">
        <v>49</v>
      </c>
      <c r="D45" s="388" t="s">
        <v>554</v>
      </c>
      <c r="E45" s="75" t="s">
        <v>1438</v>
      </c>
      <c r="F45" s="75" t="s">
        <v>1481</v>
      </c>
      <c r="G45" s="75" t="s">
        <v>1482</v>
      </c>
      <c r="H45" s="388">
        <v>4</v>
      </c>
      <c r="I45" s="74"/>
      <c r="X45" s="28">
        <v>4</v>
      </c>
    </row>
    <row r="46" spans="1:24" x14ac:dyDescent="0.3">
      <c r="A46" s="353" t="s">
        <v>5</v>
      </c>
      <c r="B46" s="74" t="s">
        <v>6</v>
      </c>
      <c r="C46" s="389" t="s">
        <v>49</v>
      </c>
      <c r="D46" s="388" t="s">
        <v>554</v>
      </c>
      <c r="E46" s="75" t="s">
        <v>762</v>
      </c>
      <c r="F46" s="75" t="s">
        <v>367</v>
      </c>
      <c r="G46" s="75" t="s">
        <v>59</v>
      </c>
      <c r="H46" s="388">
        <v>4</v>
      </c>
      <c r="I46" s="74"/>
      <c r="K46" s="420">
        <v>4</v>
      </c>
    </row>
    <row r="47" spans="1:24" s="74" customFormat="1" ht="13" x14ac:dyDescent="0.3">
      <c r="A47" s="74" t="s">
        <v>5</v>
      </c>
      <c r="B47" s="388" t="s">
        <v>6</v>
      </c>
      <c r="C47" s="75" t="s">
        <v>68</v>
      </c>
      <c r="D47" s="388" t="s">
        <v>554</v>
      </c>
      <c r="E47" s="75" t="s">
        <v>967</v>
      </c>
      <c r="F47" s="75" t="s">
        <v>372</v>
      </c>
      <c r="G47" s="504" t="s">
        <v>1603</v>
      </c>
      <c r="H47" s="74">
        <v>1</v>
      </c>
      <c r="I47" s="74">
        <v>1</v>
      </c>
      <c r="J47" s="74">
        <v>1</v>
      </c>
      <c r="K47" s="420">
        <v>1</v>
      </c>
      <c r="L47" s="420">
        <v>1</v>
      </c>
      <c r="M47" s="74">
        <v>1</v>
      </c>
      <c r="N47" s="74">
        <v>1</v>
      </c>
      <c r="O47" s="74">
        <v>1</v>
      </c>
      <c r="P47" s="74">
        <v>1</v>
      </c>
      <c r="Q47" s="74">
        <v>1</v>
      </c>
      <c r="R47" s="74">
        <v>1</v>
      </c>
      <c r="S47" s="74">
        <v>1</v>
      </c>
      <c r="T47" s="74">
        <v>1</v>
      </c>
      <c r="U47" s="74">
        <v>1</v>
      </c>
      <c r="V47" s="74">
        <v>1</v>
      </c>
      <c r="W47" s="74">
        <v>1</v>
      </c>
    </row>
    <row r="48" spans="1:24" s="74" customFormat="1" ht="13" x14ac:dyDescent="0.3">
      <c r="A48" s="74" t="s">
        <v>5</v>
      </c>
      <c r="B48" s="388" t="s">
        <v>6</v>
      </c>
      <c r="C48" s="75" t="s">
        <v>68</v>
      </c>
      <c r="D48" s="388" t="s">
        <v>554</v>
      </c>
      <c r="E48" s="75" t="s">
        <v>963</v>
      </c>
      <c r="F48" s="75" t="s">
        <v>373</v>
      </c>
      <c r="G48" s="504" t="s">
        <v>1604</v>
      </c>
      <c r="H48" s="74">
        <v>1</v>
      </c>
      <c r="I48" s="74">
        <v>1</v>
      </c>
      <c r="J48" s="74">
        <v>1</v>
      </c>
      <c r="K48" s="420">
        <v>1</v>
      </c>
      <c r="L48" s="420">
        <v>1</v>
      </c>
      <c r="M48" s="74">
        <v>1</v>
      </c>
      <c r="N48" s="74">
        <v>1</v>
      </c>
      <c r="O48" s="74">
        <v>1</v>
      </c>
      <c r="P48" s="74">
        <v>1</v>
      </c>
      <c r="Q48" s="74">
        <v>1</v>
      </c>
      <c r="R48" s="74">
        <v>1</v>
      </c>
      <c r="S48" s="74">
        <v>1</v>
      </c>
      <c r="T48" s="74">
        <v>1</v>
      </c>
      <c r="U48" s="74">
        <v>1</v>
      </c>
      <c r="V48" s="74">
        <v>1</v>
      </c>
      <c r="W48" s="74">
        <v>1</v>
      </c>
    </row>
    <row r="49" spans="1:23" s="74" customFormat="1" ht="13" x14ac:dyDescent="0.3">
      <c r="A49" s="74" t="s">
        <v>5</v>
      </c>
      <c r="B49" s="74" t="s">
        <v>6</v>
      </c>
      <c r="C49" s="75" t="s">
        <v>174</v>
      </c>
      <c r="D49" s="388" t="s">
        <v>554</v>
      </c>
      <c r="E49" s="75" t="s">
        <v>462</v>
      </c>
      <c r="F49" s="75" t="s">
        <v>463</v>
      </c>
      <c r="G49" s="504" t="s">
        <v>1605</v>
      </c>
      <c r="H49" s="1">
        <v>1</v>
      </c>
      <c r="I49" s="74">
        <v>1</v>
      </c>
      <c r="J49" s="74">
        <v>1</v>
      </c>
      <c r="K49" s="420">
        <v>1</v>
      </c>
      <c r="L49" s="420">
        <v>1</v>
      </c>
      <c r="M49" s="74">
        <v>1</v>
      </c>
      <c r="N49" s="74">
        <v>1</v>
      </c>
      <c r="O49" s="74">
        <v>1</v>
      </c>
      <c r="P49" s="74">
        <v>1</v>
      </c>
      <c r="Q49" s="74">
        <v>1</v>
      </c>
      <c r="R49" s="74">
        <v>1</v>
      </c>
      <c r="S49" s="74">
        <v>1</v>
      </c>
      <c r="T49" s="74">
        <v>1</v>
      </c>
      <c r="U49" s="74">
        <v>1</v>
      </c>
      <c r="V49" s="74">
        <v>1</v>
      </c>
      <c r="W49" s="74">
        <v>1</v>
      </c>
    </row>
    <row r="50" spans="1:23" s="74" customFormat="1" ht="13" x14ac:dyDescent="0.3">
      <c r="A50" s="74" t="s">
        <v>5</v>
      </c>
      <c r="B50" s="74" t="s">
        <v>6</v>
      </c>
      <c r="C50" s="75" t="s">
        <v>174</v>
      </c>
      <c r="D50" s="388" t="s">
        <v>554</v>
      </c>
      <c r="E50" s="75" t="s">
        <v>464</v>
      </c>
      <c r="F50" s="75" t="s">
        <v>465</v>
      </c>
      <c r="G50" s="504" t="s">
        <v>1606</v>
      </c>
      <c r="H50" s="1">
        <v>1</v>
      </c>
      <c r="I50" s="74">
        <v>1</v>
      </c>
      <c r="J50" s="74">
        <v>1</v>
      </c>
      <c r="K50" s="420">
        <v>1</v>
      </c>
      <c r="L50" s="420">
        <v>1</v>
      </c>
      <c r="M50" s="74">
        <v>1</v>
      </c>
      <c r="N50" s="74">
        <v>1</v>
      </c>
      <c r="O50" s="74">
        <v>1</v>
      </c>
      <c r="P50" s="74">
        <v>1</v>
      </c>
      <c r="Q50" s="74">
        <v>1</v>
      </c>
      <c r="R50" s="74">
        <v>1</v>
      </c>
      <c r="S50" s="74">
        <v>1</v>
      </c>
      <c r="T50" s="74">
        <v>1</v>
      </c>
      <c r="U50" s="74">
        <v>1</v>
      </c>
      <c r="V50" s="505">
        <v>1</v>
      </c>
      <c r="W50" s="74">
        <v>1</v>
      </c>
    </row>
    <row r="51" spans="1:23" s="74" customFormat="1" ht="13" x14ac:dyDescent="0.3">
      <c r="A51" s="74" t="s">
        <v>5</v>
      </c>
      <c r="B51" s="74" t="s">
        <v>6</v>
      </c>
      <c r="C51" s="75" t="s">
        <v>174</v>
      </c>
      <c r="D51" s="388" t="s">
        <v>554</v>
      </c>
      <c r="E51" s="75" t="s">
        <v>466</v>
      </c>
      <c r="F51" s="75" t="s">
        <v>467</v>
      </c>
      <c r="G51" s="504" t="s">
        <v>1607</v>
      </c>
      <c r="H51" s="1">
        <v>1</v>
      </c>
      <c r="I51" s="74">
        <v>1</v>
      </c>
      <c r="J51" s="74">
        <v>1</v>
      </c>
      <c r="K51" s="420">
        <v>1</v>
      </c>
      <c r="L51" s="420">
        <v>1</v>
      </c>
      <c r="M51" s="74">
        <v>1</v>
      </c>
      <c r="N51" s="74">
        <v>1</v>
      </c>
      <c r="O51" s="74">
        <v>1</v>
      </c>
      <c r="P51" s="74">
        <v>1</v>
      </c>
      <c r="Q51" s="74">
        <v>1</v>
      </c>
      <c r="R51" s="74">
        <v>1</v>
      </c>
      <c r="S51" s="74">
        <v>1</v>
      </c>
      <c r="T51" s="74">
        <v>1</v>
      </c>
      <c r="U51" s="74">
        <v>1</v>
      </c>
      <c r="V51" s="505">
        <v>1</v>
      </c>
      <c r="W51" s="74">
        <v>1</v>
      </c>
    </row>
    <row r="52" spans="1:23" s="74" customFormat="1" ht="13" x14ac:dyDescent="0.3">
      <c r="A52" s="74" t="s">
        <v>5</v>
      </c>
      <c r="B52" s="74" t="s">
        <v>6</v>
      </c>
      <c r="C52" s="75" t="s">
        <v>174</v>
      </c>
      <c r="D52" s="388" t="s">
        <v>554</v>
      </c>
      <c r="E52" s="75" t="s">
        <v>468</v>
      </c>
      <c r="F52" s="75" t="s">
        <v>469</v>
      </c>
      <c r="G52" s="504" t="s">
        <v>1608</v>
      </c>
      <c r="H52" s="1">
        <v>1</v>
      </c>
      <c r="I52" s="74">
        <v>1</v>
      </c>
      <c r="J52" s="74">
        <v>1</v>
      </c>
      <c r="K52" s="420">
        <v>1</v>
      </c>
      <c r="L52" s="420">
        <v>1</v>
      </c>
      <c r="M52" s="74">
        <v>1</v>
      </c>
      <c r="N52" s="74">
        <v>1</v>
      </c>
      <c r="O52" s="74">
        <v>1</v>
      </c>
      <c r="P52" s="74">
        <v>1</v>
      </c>
      <c r="Q52" s="74">
        <v>1</v>
      </c>
      <c r="R52" s="74">
        <v>1</v>
      </c>
      <c r="S52" s="74">
        <v>1</v>
      </c>
      <c r="T52" s="74">
        <v>1</v>
      </c>
      <c r="U52" s="74">
        <v>1</v>
      </c>
      <c r="V52" s="74">
        <v>1</v>
      </c>
      <c r="W52" s="74">
        <v>1</v>
      </c>
    </row>
    <row r="53" spans="1:23" s="74" customFormat="1" ht="13" x14ac:dyDescent="0.3">
      <c r="A53" s="74" t="s">
        <v>5</v>
      </c>
      <c r="B53" s="74" t="s">
        <v>6</v>
      </c>
      <c r="C53" s="75" t="s">
        <v>174</v>
      </c>
      <c r="D53" s="388" t="s">
        <v>554</v>
      </c>
      <c r="E53" s="75" t="s">
        <v>470</v>
      </c>
      <c r="F53" s="75" t="s">
        <v>471</v>
      </c>
      <c r="G53" s="504" t="s">
        <v>1609</v>
      </c>
      <c r="H53" s="1">
        <v>1</v>
      </c>
      <c r="I53" s="74">
        <v>1</v>
      </c>
      <c r="J53" s="74">
        <v>1</v>
      </c>
      <c r="K53" s="420">
        <v>1</v>
      </c>
      <c r="L53" s="420">
        <v>1</v>
      </c>
      <c r="M53" s="74">
        <v>1</v>
      </c>
      <c r="N53" s="74">
        <v>1</v>
      </c>
      <c r="O53" s="74">
        <v>1</v>
      </c>
      <c r="P53" s="74">
        <v>1</v>
      </c>
      <c r="Q53" s="74">
        <v>1</v>
      </c>
      <c r="R53" s="74">
        <v>1</v>
      </c>
      <c r="S53" s="74">
        <v>1</v>
      </c>
      <c r="T53" s="74">
        <v>1</v>
      </c>
      <c r="U53" s="74">
        <v>1</v>
      </c>
      <c r="V53" s="74">
        <v>1</v>
      </c>
      <c r="W53" s="74">
        <v>1</v>
      </c>
    </row>
    <row r="54" spans="1:23" s="74" customFormat="1" ht="13" x14ac:dyDescent="0.3">
      <c r="A54" s="74" t="s">
        <v>5</v>
      </c>
      <c r="B54" s="74" t="s">
        <v>6</v>
      </c>
      <c r="C54" s="75" t="s">
        <v>174</v>
      </c>
      <c r="D54" s="388" t="s">
        <v>554</v>
      </c>
      <c r="E54" s="75" t="s">
        <v>591</v>
      </c>
      <c r="F54" s="75" t="s">
        <v>589</v>
      </c>
      <c r="G54" s="504" t="s">
        <v>1610</v>
      </c>
      <c r="H54" s="74">
        <v>1</v>
      </c>
      <c r="I54" s="74">
        <v>1</v>
      </c>
      <c r="J54" s="74">
        <v>1</v>
      </c>
      <c r="K54" s="420">
        <v>1</v>
      </c>
      <c r="L54" s="420">
        <v>1</v>
      </c>
      <c r="M54" s="74">
        <v>1</v>
      </c>
      <c r="N54" s="74">
        <v>1</v>
      </c>
      <c r="O54" s="74">
        <v>1</v>
      </c>
      <c r="P54" s="74">
        <v>1</v>
      </c>
      <c r="Q54" s="74">
        <v>1</v>
      </c>
      <c r="R54" s="74">
        <v>1</v>
      </c>
      <c r="S54" s="74">
        <v>1</v>
      </c>
      <c r="T54" s="74">
        <v>1</v>
      </c>
      <c r="U54" s="74">
        <v>1</v>
      </c>
      <c r="V54" s="74">
        <v>1</v>
      </c>
      <c r="W54" s="74">
        <v>1</v>
      </c>
    </row>
    <row r="55" spans="1:23" x14ac:dyDescent="0.3">
      <c r="A55" s="353" t="s">
        <v>5</v>
      </c>
      <c r="B55" s="74" t="s">
        <v>6</v>
      </c>
      <c r="C55" s="75" t="s">
        <v>398</v>
      </c>
      <c r="D55" s="388" t="s">
        <v>554</v>
      </c>
      <c r="E55" s="75" t="s">
        <v>600</v>
      </c>
      <c r="F55" s="75" t="s">
        <v>635</v>
      </c>
      <c r="G55" s="75" t="s">
        <v>425</v>
      </c>
      <c r="H55" s="388">
        <v>4</v>
      </c>
      <c r="I55" s="74"/>
      <c r="P55" s="28">
        <v>4</v>
      </c>
    </row>
    <row r="56" spans="1:23" x14ac:dyDescent="0.3">
      <c r="A56" s="353" t="s">
        <v>5</v>
      </c>
      <c r="B56" s="74" t="s">
        <v>6</v>
      </c>
      <c r="C56" s="75" t="s">
        <v>398</v>
      </c>
      <c r="D56" s="388" t="s">
        <v>554</v>
      </c>
      <c r="E56" s="75" t="s">
        <v>637</v>
      </c>
      <c r="F56" s="75" t="s">
        <v>636</v>
      </c>
      <c r="G56" s="75" t="s">
        <v>426</v>
      </c>
      <c r="H56" s="388">
        <v>4</v>
      </c>
      <c r="I56" s="74"/>
      <c r="P56" s="28">
        <v>4</v>
      </c>
    </row>
    <row r="57" spans="1:23" x14ac:dyDescent="0.3">
      <c r="A57" s="353" t="s">
        <v>5</v>
      </c>
      <c r="B57" s="74" t="s">
        <v>6</v>
      </c>
      <c r="C57" s="75" t="s">
        <v>398</v>
      </c>
      <c r="D57" s="388" t="s">
        <v>554</v>
      </c>
      <c r="E57" s="75" t="s">
        <v>639</v>
      </c>
      <c r="F57" s="75" t="s">
        <v>638</v>
      </c>
      <c r="G57" s="75" t="s">
        <v>427</v>
      </c>
      <c r="H57" s="388">
        <v>4</v>
      </c>
      <c r="I57" s="74"/>
      <c r="P57" s="28">
        <v>4</v>
      </c>
    </row>
    <row r="58" spans="1:23" x14ac:dyDescent="0.3">
      <c r="A58" s="353" t="s">
        <v>5</v>
      </c>
      <c r="B58" s="74" t="s">
        <v>6</v>
      </c>
      <c r="C58" s="75" t="s">
        <v>398</v>
      </c>
      <c r="D58" s="388" t="s">
        <v>554</v>
      </c>
      <c r="E58" s="75" t="s">
        <v>640</v>
      </c>
      <c r="F58" s="75" t="s">
        <v>641</v>
      </c>
      <c r="G58" s="75" t="s">
        <v>428</v>
      </c>
      <c r="H58" s="388">
        <v>4</v>
      </c>
      <c r="I58" s="74"/>
      <c r="O58" s="28">
        <v>4</v>
      </c>
    </row>
    <row r="59" spans="1:23" x14ac:dyDescent="0.3">
      <c r="A59" s="353" t="s">
        <v>5</v>
      </c>
      <c r="B59" s="74" t="s">
        <v>6</v>
      </c>
      <c r="C59" s="75" t="s">
        <v>398</v>
      </c>
      <c r="D59" s="388" t="s">
        <v>554</v>
      </c>
      <c r="E59" s="75" t="s">
        <v>599</v>
      </c>
      <c r="F59" s="75" t="s">
        <v>597</v>
      </c>
      <c r="G59" s="75" t="s">
        <v>595</v>
      </c>
      <c r="H59" s="388">
        <v>4</v>
      </c>
      <c r="I59" s="74"/>
      <c r="O59" s="28">
        <v>4</v>
      </c>
    </row>
    <row r="60" spans="1:23" x14ac:dyDescent="0.3">
      <c r="A60" s="353" t="s">
        <v>5</v>
      </c>
      <c r="B60" s="74" t="s">
        <v>6</v>
      </c>
      <c r="C60" s="75" t="s">
        <v>398</v>
      </c>
      <c r="D60" s="388" t="s">
        <v>554</v>
      </c>
      <c r="E60" s="75" t="s">
        <v>600</v>
      </c>
      <c r="F60" s="75" t="s">
        <v>598</v>
      </c>
      <c r="G60" s="75" t="s">
        <v>596</v>
      </c>
      <c r="H60" s="388">
        <v>4</v>
      </c>
      <c r="I60" s="74"/>
      <c r="P60" s="28">
        <v>4</v>
      </c>
    </row>
    <row r="61" spans="1:23" ht="13" x14ac:dyDescent="0.3">
      <c r="A61" s="420" t="s">
        <v>5</v>
      </c>
      <c r="B61" s="388" t="s">
        <v>6</v>
      </c>
      <c r="C61" s="75" t="s">
        <v>374</v>
      </c>
      <c r="D61" s="388" t="s">
        <v>554</v>
      </c>
      <c r="E61" s="75" t="s">
        <v>688</v>
      </c>
      <c r="F61" s="75" t="s">
        <v>375</v>
      </c>
      <c r="G61" s="504" t="s">
        <v>1628</v>
      </c>
      <c r="H61" s="74">
        <v>2</v>
      </c>
      <c r="I61" s="74">
        <v>2</v>
      </c>
      <c r="L61" s="420">
        <v>2</v>
      </c>
      <c r="O61" s="28">
        <v>2</v>
      </c>
      <c r="S61" s="28">
        <v>2</v>
      </c>
      <c r="V61" s="28">
        <v>2</v>
      </c>
    </row>
    <row r="62" spans="1:23" ht="13" x14ac:dyDescent="0.3">
      <c r="A62" s="420" t="s">
        <v>5</v>
      </c>
      <c r="B62" s="388" t="s">
        <v>6</v>
      </c>
      <c r="C62" s="75" t="s">
        <v>374</v>
      </c>
      <c r="D62" s="388" t="s">
        <v>554</v>
      </c>
      <c r="E62" s="75" t="s">
        <v>689</v>
      </c>
      <c r="F62" s="75" t="s">
        <v>376</v>
      </c>
      <c r="G62" s="504" t="s">
        <v>1629</v>
      </c>
      <c r="H62" s="74">
        <v>2</v>
      </c>
      <c r="I62" s="74">
        <v>2</v>
      </c>
      <c r="O62" s="28">
        <v>2</v>
      </c>
      <c r="R62" s="28">
        <v>2</v>
      </c>
      <c r="V62" s="28">
        <v>2</v>
      </c>
    </row>
    <row r="63" spans="1:23" ht="13" x14ac:dyDescent="0.3">
      <c r="A63" s="420" t="s">
        <v>5</v>
      </c>
      <c r="B63" s="388" t="s">
        <v>6</v>
      </c>
      <c r="C63" s="75" t="s">
        <v>374</v>
      </c>
      <c r="D63" s="388" t="s">
        <v>554</v>
      </c>
      <c r="E63" s="75" t="s">
        <v>690</v>
      </c>
      <c r="F63" s="75" t="s">
        <v>377</v>
      </c>
      <c r="G63" s="504" t="s">
        <v>1630</v>
      </c>
      <c r="H63" s="74">
        <v>2</v>
      </c>
      <c r="I63" s="74">
        <v>2</v>
      </c>
      <c r="L63" s="420">
        <v>2</v>
      </c>
      <c r="O63" s="28">
        <v>2</v>
      </c>
      <c r="R63" s="28">
        <v>2</v>
      </c>
      <c r="V63" s="28">
        <v>2</v>
      </c>
    </row>
    <row r="64" spans="1:23" ht="13" x14ac:dyDescent="0.3">
      <c r="A64" s="353" t="s">
        <v>5</v>
      </c>
      <c r="B64" s="388" t="s">
        <v>6</v>
      </c>
      <c r="C64" s="75" t="s">
        <v>374</v>
      </c>
      <c r="D64" s="388" t="s">
        <v>554</v>
      </c>
      <c r="E64" s="75" t="s">
        <v>22</v>
      </c>
      <c r="F64" s="75"/>
      <c r="G64" s="504" t="s">
        <v>1631</v>
      </c>
      <c r="H64" s="74">
        <v>2</v>
      </c>
      <c r="I64" s="74"/>
      <c r="L64" s="420">
        <v>2</v>
      </c>
      <c r="O64" s="28">
        <v>2</v>
      </c>
      <c r="R64" s="28">
        <v>2</v>
      </c>
      <c r="V64" s="28">
        <v>2</v>
      </c>
    </row>
    <row r="65" spans="1:23" x14ac:dyDescent="0.3">
      <c r="A65" s="353" t="s">
        <v>5</v>
      </c>
      <c r="B65" s="74" t="s">
        <v>6</v>
      </c>
      <c r="C65" s="75" t="s">
        <v>9</v>
      </c>
      <c r="D65" s="388" t="s">
        <v>554</v>
      </c>
      <c r="E65" s="75" t="s">
        <v>783</v>
      </c>
      <c r="F65" s="75" t="s">
        <v>10</v>
      </c>
      <c r="G65" s="75" t="s">
        <v>8</v>
      </c>
      <c r="H65" s="388">
        <v>3</v>
      </c>
      <c r="I65" s="74"/>
      <c r="N65" s="28">
        <v>3</v>
      </c>
      <c r="U65" s="28">
        <v>3</v>
      </c>
    </row>
    <row r="66" spans="1:23" x14ac:dyDescent="0.3">
      <c r="A66" s="353" t="s">
        <v>5</v>
      </c>
      <c r="B66" s="74" t="s">
        <v>6</v>
      </c>
      <c r="C66" s="75" t="s">
        <v>9</v>
      </c>
      <c r="D66" s="388" t="s">
        <v>554</v>
      </c>
      <c r="E66" s="75" t="s">
        <v>783</v>
      </c>
      <c r="F66" s="75" t="s">
        <v>10</v>
      </c>
      <c r="G66" s="75" t="s">
        <v>11</v>
      </c>
      <c r="H66" s="388">
        <v>3</v>
      </c>
      <c r="I66" s="74"/>
      <c r="N66" s="28">
        <v>3</v>
      </c>
      <c r="U66" s="28">
        <v>3</v>
      </c>
    </row>
    <row r="67" spans="1:23" x14ac:dyDescent="0.3">
      <c r="A67" s="353" t="s">
        <v>5</v>
      </c>
      <c r="B67" s="74" t="s">
        <v>6</v>
      </c>
      <c r="C67" s="75" t="s">
        <v>9</v>
      </c>
      <c r="D67" s="388" t="s">
        <v>554</v>
      </c>
      <c r="E67" s="75" t="s">
        <v>821</v>
      </c>
      <c r="F67" s="75" t="s">
        <v>13</v>
      </c>
      <c r="G67" s="75" t="s">
        <v>12</v>
      </c>
      <c r="H67" s="388">
        <v>3</v>
      </c>
      <c r="I67" s="74"/>
      <c r="O67" s="28">
        <v>3</v>
      </c>
    </row>
    <row r="68" spans="1:23" x14ac:dyDescent="0.3">
      <c r="A68" s="353" t="s">
        <v>5</v>
      </c>
      <c r="B68" s="74" t="s">
        <v>6</v>
      </c>
      <c r="C68" s="75" t="s">
        <v>9</v>
      </c>
      <c r="D68" s="388" t="s">
        <v>554</v>
      </c>
      <c r="E68" s="75" t="s">
        <v>822</v>
      </c>
      <c r="F68" s="75" t="s">
        <v>15</v>
      </c>
      <c r="G68" s="75" t="s">
        <v>14</v>
      </c>
      <c r="H68" s="388">
        <v>3</v>
      </c>
      <c r="I68" s="74"/>
      <c r="R68" s="28">
        <v>3</v>
      </c>
      <c r="U68" s="28">
        <v>3</v>
      </c>
    </row>
    <row r="69" spans="1:23" x14ac:dyDescent="0.3">
      <c r="A69" s="353" t="s">
        <v>5</v>
      </c>
      <c r="B69" s="74" t="s">
        <v>6</v>
      </c>
      <c r="C69" s="75" t="s">
        <v>9</v>
      </c>
      <c r="D69" s="388" t="s">
        <v>554</v>
      </c>
      <c r="E69" s="75" t="s">
        <v>823</v>
      </c>
      <c r="F69" s="75" t="s">
        <v>17</v>
      </c>
      <c r="G69" s="75" t="s">
        <v>16</v>
      </c>
      <c r="H69" s="388">
        <v>3</v>
      </c>
      <c r="I69" s="74"/>
      <c r="J69" s="28">
        <v>3</v>
      </c>
      <c r="R69" s="28">
        <v>3</v>
      </c>
    </row>
    <row r="70" spans="1:23" x14ac:dyDescent="0.3">
      <c r="A70" s="353" t="s">
        <v>5</v>
      </c>
      <c r="B70" s="74" t="s">
        <v>6</v>
      </c>
      <c r="C70" s="75" t="s">
        <v>9</v>
      </c>
      <c r="D70" s="388" t="s">
        <v>554</v>
      </c>
      <c r="E70" s="75" t="s">
        <v>822</v>
      </c>
      <c r="F70" s="75" t="s">
        <v>968</v>
      </c>
      <c r="G70" s="75" t="s">
        <v>969</v>
      </c>
      <c r="H70" s="388">
        <v>3</v>
      </c>
      <c r="I70" s="74"/>
      <c r="K70" s="420">
        <v>3</v>
      </c>
      <c r="S70" s="28">
        <v>3</v>
      </c>
    </row>
    <row r="71" spans="1:23" x14ac:dyDescent="0.3">
      <c r="A71" s="353" t="s">
        <v>5</v>
      </c>
      <c r="B71" s="74" t="s">
        <v>6</v>
      </c>
      <c r="C71" s="75" t="s">
        <v>9</v>
      </c>
      <c r="D71" s="388" t="s">
        <v>554</v>
      </c>
      <c r="E71" s="75" t="s">
        <v>822</v>
      </c>
      <c r="F71" s="75" t="s">
        <v>968</v>
      </c>
      <c r="G71" s="75" t="s">
        <v>970</v>
      </c>
      <c r="H71" s="388">
        <v>3</v>
      </c>
      <c r="I71" s="74"/>
      <c r="K71" s="420">
        <v>3</v>
      </c>
      <c r="S71" s="28">
        <v>3</v>
      </c>
    </row>
    <row r="72" spans="1:23" x14ac:dyDescent="0.3">
      <c r="A72" s="353" t="s">
        <v>5</v>
      </c>
      <c r="B72" s="74" t="s">
        <v>6</v>
      </c>
      <c r="C72" s="75" t="s">
        <v>19</v>
      </c>
      <c r="D72" s="388" t="s">
        <v>554</v>
      </c>
      <c r="E72" s="75" t="s">
        <v>824</v>
      </c>
      <c r="F72" s="75" t="s">
        <v>20</v>
      </c>
      <c r="G72" s="75" t="s">
        <v>18</v>
      </c>
      <c r="H72" s="388">
        <v>4</v>
      </c>
      <c r="I72" s="74"/>
      <c r="Q72" s="28">
        <v>4</v>
      </c>
    </row>
    <row r="73" spans="1:23" s="74" customFormat="1" ht="13" x14ac:dyDescent="0.3">
      <c r="A73" s="74" t="s">
        <v>5</v>
      </c>
      <c r="B73" s="388" t="s">
        <v>6</v>
      </c>
      <c r="C73" s="75" t="s">
        <v>19</v>
      </c>
      <c r="D73" s="388" t="s">
        <v>554</v>
      </c>
      <c r="E73" s="75" t="s">
        <v>569</v>
      </c>
      <c r="F73" s="75" t="s">
        <v>570</v>
      </c>
      <c r="G73" s="504" t="s">
        <v>1613</v>
      </c>
      <c r="H73" s="74">
        <v>1</v>
      </c>
      <c r="I73" s="74">
        <v>1</v>
      </c>
      <c r="J73" s="74">
        <v>1</v>
      </c>
      <c r="K73" s="420">
        <v>1</v>
      </c>
      <c r="L73" s="420">
        <v>1</v>
      </c>
      <c r="N73" s="74">
        <v>1</v>
      </c>
      <c r="O73" s="74">
        <v>1</v>
      </c>
      <c r="P73" s="74">
        <v>1</v>
      </c>
      <c r="Q73" s="74">
        <v>1</v>
      </c>
      <c r="R73" s="74">
        <v>1</v>
      </c>
      <c r="S73" s="74">
        <v>1</v>
      </c>
      <c r="T73" s="74">
        <v>1</v>
      </c>
      <c r="U73" s="74">
        <v>1</v>
      </c>
      <c r="V73" s="74">
        <v>1</v>
      </c>
      <c r="W73" s="74">
        <v>1</v>
      </c>
    </row>
    <row r="74" spans="1:23" s="74" customFormat="1" ht="13" x14ac:dyDescent="0.3">
      <c r="A74" s="74" t="s">
        <v>5</v>
      </c>
      <c r="B74" s="388" t="s">
        <v>6</v>
      </c>
      <c r="C74" s="75" t="s">
        <v>19</v>
      </c>
      <c r="D74" s="388" t="s">
        <v>554</v>
      </c>
      <c r="E74" s="75" t="s">
        <v>1215</v>
      </c>
      <c r="F74" s="75"/>
      <c r="G74" s="504" t="s">
        <v>1614</v>
      </c>
      <c r="H74" s="74">
        <v>1</v>
      </c>
      <c r="I74" s="74">
        <v>1</v>
      </c>
      <c r="J74" s="74">
        <v>1</v>
      </c>
      <c r="K74" s="420">
        <v>1</v>
      </c>
      <c r="L74" s="420">
        <v>1</v>
      </c>
      <c r="N74" s="74">
        <v>1</v>
      </c>
      <c r="O74" s="74">
        <v>1</v>
      </c>
      <c r="P74" s="74">
        <v>1</v>
      </c>
      <c r="Q74" s="74">
        <v>1</v>
      </c>
      <c r="R74" s="74">
        <v>1</v>
      </c>
      <c r="S74" s="74">
        <v>1</v>
      </c>
      <c r="T74" s="74">
        <v>1</v>
      </c>
      <c r="U74" s="74">
        <v>1</v>
      </c>
      <c r="V74" s="74">
        <v>1</v>
      </c>
      <c r="W74" s="74">
        <v>1</v>
      </c>
    </row>
    <row r="75" spans="1:23" s="74" customFormat="1" ht="13" x14ac:dyDescent="0.3">
      <c r="A75" s="74" t="s">
        <v>5</v>
      </c>
      <c r="B75" s="74" t="s">
        <v>6</v>
      </c>
      <c r="C75" s="75" t="s">
        <v>19</v>
      </c>
      <c r="D75" s="388" t="s">
        <v>554</v>
      </c>
      <c r="E75" s="75" t="s">
        <v>574</v>
      </c>
      <c r="F75" s="75" t="s">
        <v>573</v>
      </c>
      <c r="G75" s="504" t="s">
        <v>1615</v>
      </c>
      <c r="H75" s="388">
        <v>1</v>
      </c>
      <c r="I75" s="74">
        <v>1</v>
      </c>
      <c r="J75" s="74">
        <v>1</v>
      </c>
      <c r="K75" s="420">
        <v>1</v>
      </c>
      <c r="L75" s="420">
        <v>1</v>
      </c>
      <c r="N75" s="74">
        <v>1</v>
      </c>
      <c r="O75" s="74">
        <v>1</v>
      </c>
      <c r="P75" s="74">
        <v>1</v>
      </c>
      <c r="Q75" s="74">
        <v>1</v>
      </c>
      <c r="R75" s="74">
        <v>1</v>
      </c>
      <c r="S75" s="74">
        <v>1</v>
      </c>
      <c r="T75" s="74">
        <v>1</v>
      </c>
      <c r="U75" s="74">
        <v>1</v>
      </c>
      <c r="V75" s="74">
        <v>1</v>
      </c>
      <c r="W75" s="74">
        <v>1</v>
      </c>
    </row>
    <row r="76" spans="1:23" x14ac:dyDescent="0.3">
      <c r="A76" s="353" t="s">
        <v>5</v>
      </c>
      <c r="B76" s="74" t="s">
        <v>6</v>
      </c>
      <c r="C76" s="75" t="s">
        <v>19</v>
      </c>
      <c r="D76" s="388" t="s">
        <v>554</v>
      </c>
      <c r="E76" s="75" t="s">
        <v>825</v>
      </c>
      <c r="F76" s="75" t="s">
        <v>24</v>
      </c>
      <c r="G76" s="75" t="s">
        <v>23</v>
      </c>
      <c r="H76" s="388">
        <v>4</v>
      </c>
      <c r="I76" s="74"/>
      <c r="Q76" s="28">
        <v>4</v>
      </c>
    </row>
    <row r="77" spans="1:23" s="74" customFormat="1" ht="13" x14ac:dyDescent="0.3">
      <c r="A77" s="74" t="s">
        <v>5</v>
      </c>
      <c r="B77" s="74" t="s">
        <v>6</v>
      </c>
      <c r="C77" s="75" t="s">
        <v>348</v>
      </c>
      <c r="D77" s="388" t="s">
        <v>554</v>
      </c>
      <c r="E77" s="75" t="s">
        <v>472</v>
      </c>
      <c r="F77" s="75" t="s">
        <v>473</v>
      </c>
      <c r="G77" s="504" t="s">
        <v>1611</v>
      </c>
      <c r="H77" s="1">
        <v>1</v>
      </c>
      <c r="I77" s="74">
        <v>1</v>
      </c>
      <c r="J77" s="74">
        <v>1</v>
      </c>
      <c r="K77" s="420">
        <v>1</v>
      </c>
      <c r="L77" s="420">
        <v>1</v>
      </c>
      <c r="M77" s="74">
        <v>1</v>
      </c>
      <c r="N77" s="74">
        <v>1</v>
      </c>
      <c r="O77" s="74">
        <v>1</v>
      </c>
      <c r="P77" s="74">
        <v>1</v>
      </c>
      <c r="Q77" s="74">
        <v>1</v>
      </c>
      <c r="R77" s="74">
        <v>1</v>
      </c>
      <c r="S77" s="74">
        <v>1</v>
      </c>
      <c r="T77" s="74">
        <v>1</v>
      </c>
      <c r="U77" s="74">
        <v>1</v>
      </c>
      <c r="V77" s="74">
        <v>1</v>
      </c>
      <c r="W77" s="74">
        <v>1</v>
      </c>
    </row>
    <row r="78" spans="1:23" s="74" customFormat="1" ht="13" x14ac:dyDescent="0.3">
      <c r="A78" s="74" t="s">
        <v>5</v>
      </c>
      <c r="B78" s="74" t="s">
        <v>6</v>
      </c>
      <c r="C78" s="75" t="s">
        <v>348</v>
      </c>
      <c r="D78" s="388" t="s">
        <v>554</v>
      </c>
      <c r="E78" s="75" t="s">
        <v>474</v>
      </c>
      <c r="F78" s="75" t="s">
        <v>475</v>
      </c>
      <c r="G78" s="504" t="s">
        <v>1612</v>
      </c>
      <c r="H78" s="1">
        <v>1</v>
      </c>
      <c r="I78" s="74">
        <v>1</v>
      </c>
      <c r="J78" s="74">
        <v>1</v>
      </c>
      <c r="K78" s="420">
        <v>1</v>
      </c>
      <c r="L78" s="420">
        <v>1</v>
      </c>
      <c r="M78" s="74">
        <v>1</v>
      </c>
      <c r="N78" s="74">
        <v>1</v>
      </c>
      <c r="O78" s="74">
        <v>1</v>
      </c>
      <c r="P78" s="74">
        <v>1</v>
      </c>
      <c r="Q78" s="74">
        <v>1</v>
      </c>
      <c r="R78" s="74">
        <v>1</v>
      </c>
      <c r="S78" s="74">
        <v>1</v>
      </c>
      <c r="T78" s="74">
        <v>1</v>
      </c>
      <c r="U78" s="74">
        <v>1</v>
      </c>
      <c r="V78" s="74">
        <v>1</v>
      </c>
      <c r="W78" s="74">
        <v>1</v>
      </c>
    </row>
    <row r="79" spans="1:23" s="74" customFormat="1" ht="13" x14ac:dyDescent="0.3">
      <c r="A79" s="74" t="s">
        <v>5</v>
      </c>
      <c r="B79" s="74" t="s">
        <v>6</v>
      </c>
      <c r="C79" s="75" t="s">
        <v>348</v>
      </c>
      <c r="D79" s="388" t="s">
        <v>554</v>
      </c>
      <c r="E79" s="75" t="s">
        <v>476</v>
      </c>
      <c r="F79" s="75" t="s">
        <v>477</v>
      </c>
      <c r="G79" s="504" t="s">
        <v>1602</v>
      </c>
      <c r="H79" s="1">
        <v>1</v>
      </c>
      <c r="I79" s="74">
        <v>1</v>
      </c>
      <c r="J79" s="74">
        <v>1</v>
      </c>
      <c r="K79" s="420">
        <v>1</v>
      </c>
      <c r="L79" s="420">
        <v>1</v>
      </c>
      <c r="M79" s="74">
        <v>1</v>
      </c>
      <c r="N79" s="74">
        <v>1</v>
      </c>
      <c r="O79" s="74">
        <v>1</v>
      </c>
      <c r="P79" s="74">
        <v>1</v>
      </c>
      <c r="Q79" s="74">
        <v>1</v>
      </c>
      <c r="R79" s="74">
        <v>1</v>
      </c>
      <c r="S79" s="74">
        <v>1</v>
      </c>
      <c r="T79" s="74">
        <v>1</v>
      </c>
      <c r="U79" s="74">
        <v>1</v>
      </c>
      <c r="V79" s="74">
        <v>1</v>
      </c>
      <c r="W79" s="74">
        <v>1</v>
      </c>
    </row>
    <row r="80" spans="1:23" x14ac:dyDescent="0.3">
      <c r="A80" s="353" t="s">
        <v>5</v>
      </c>
      <c r="B80" s="74" t="s">
        <v>6</v>
      </c>
      <c r="C80" s="75" t="s">
        <v>348</v>
      </c>
      <c r="D80" s="388" t="s">
        <v>554</v>
      </c>
      <c r="E80" s="75" t="s">
        <v>826</v>
      </c>
      <c r="F80" s="75" t="s">
        <v>349</v>
      </c>
      <c r="G80" s="75" t="s">
        <v>432</v>
      </c>
      <c r="H80" s="388">
        <v>4</v>
      </c>
      <c r="I80" s="74"/>
      <c r="L80" s="420">
        <v>4</v>
      </c>
      <c r="U80" s="28">
        <v>4</v>
      </c>
    </row>
    <row r="81" spans="1:24" x14ac:dyDescent="0.3">
      <c r="A81" s="353" t="s">
        <v>5</v>
      </c>
      <c r="B81" s="74" t="s">
        <v>6</v>
      </c>
      <c r="C81" s="75" t="s">
        <v>348</v>
      </c>
      <c r="D81" s="388" t="s">
        <v>554</v>
      </c>
      <c r="E81" s="75" t="s">
        <v>960</v>
      </c>
      <c r="F81" s="75" t="s">
        <v>350</v>
      </c>
      <c r="G81" s="75" t="s">
        <v>433</v>
      </c>
      <c r="H81" s="388">
        <v>4</v>
      </c>
      <c r="I81" s="74"/>
      <c r="L81" s="420">
        <v>4</v>
      </c>
      <c r="U81" s="28">
        <v>4</v>
      </c>
    </row>
    <row r="82" spans="1:24" s="74" customFormat="1" ht="13" x14ac:dyDescent="0.3">
      <c r="A82" s="74" t="s">
        <v>5</v>
      </c>
      <c r="B82" s="388" t="s">
        <v>76</v>
      </c>
      <c r="C82" s="389" t="s">
        <v>94</v>
      </c>
      <c r="D82" s="388" t="s">
        <v>555</v>
      </c>
      <c r="E82" s="389" t="s">
        <v>827</v>
      </c>
      <c r="F82" s="389" t="s">
        <v>95</v>
      </c>
      <c r="G82" s="507" t="s">
        <v>1624</v>
      </c>
      <c r="H82" s="388">
        <v>1</v>
      </c>
      <c r="I82" s="74">
        <v>1</v>
      </c>
      <c r="J82" s="74">
        <v>1</v>
      </c>
      <c r="K82" s="420">
        <v>1</v>
      </c>
      <c r="L82" s="420">
        <v>1</v>
      </c>
      <c r="N82" s="74">
        <v>1</v>
      </c>
      <c r="O82" s="74">
        <v>1</v>
      </c>
      <c r="P82" s="74">
        <v>1</v>
      </c>
      <c r="Q82" s="74">
        <v>1</v>
      </c>
      <c r="R82" s="74">
        <v>1</v>
      </c>
      <c r="S82" s="74">
        <v>1</v>
      </c>
      <c r="T82" s="74">
        <v>1</v>
      </c>
      <c r="U82" s="74">
        <v>1</v>
      </c>
      <c r="V82" s="74">
        <v>1</v>
      </c>
      <c r="X82" s="74">
        <v>1</v>
      </c>
    </row>
    <row r="83" spans="1:24" s="74" customFormat="1" ht="13" x14ac:dyDescent="0.3">
      <c r="A83" s="74" t="s">
        <v>5</v>
      </c>
      <c r="B83" s="388" t="s">
        <v>76</v>
      </c>
      <c r="C83" s="389" t="s">
        <v>94</v>
      </c>
      <c r="D83" s="388" t="s">
        <v>555</v>
      </c>
      <c r="E83" s="389" t="s">
        <v>827</v>
      </c>
      <c r="F83" s="389" t="s">
        <v>95</v>
      </c>
      <c r="G83" s="507" t="s">
        <v>1625</v>
      </c>
      <c r="H83" s="388">
        <v>1</v>
      </c>
      <c r="I83" s="74">
        <v>1</v>
      </c>
      <c r="J83" s="74">
        <v>1</v>
      </c>
      <c r="K83" s="420">
        <v>1</v>
      </c>
      <c r="L83" s="420">
        <v>1</v>
      </c>
      <c r="N83" s="74">
        <v>1</v>
      </c>
      <c r="O83" s="74">
        <v>1</v>
      </c>
      <c r="P83" s="74">
        <v>1</v>
      </c>
      <c r="Q83" s="74">
        <v>1</v>
      </c>
      <c r="R83" s="74">
        <v>1</v>
      </c>
      <c r="S83" s="74">
        <v>1</v>
      </c>
      <c r="T83" s="74">
        <v>1</v>
      </c>
      <c r="U83" s="74">
        <v>1</v>
      </c>
      <c r="V83" s="74">
        <v>1</v>
      </c>
      <c r="X83" s="74">
        <v>1</v>
      </c>
    </row>
    <row r="84" spans="1:24" x14ac:dyDescent="0.3">
      <c r="A84" s="353" t="s">
        <v>5</v>
      </c>
      <c r="B84" s="388" t="s">
        <v>76</v>
      </c>
      <c r="C84" s="389" t="s">
        <v>971</v>
      </c>
      <c r="D84" s="388" t="s">
        <v>555</v>
      </c>
      <c r="E84" s="389" t="s">
        <v>972</v>
      </c>
      <c r="F84" s="389" t="s">
        <v>973</v>
      </c>
      <c r="G84" s="75" t="s">
        <v>974</v>
      </c>
      <c r="H84" s="388">
        <v>2</v>
      </c>
      <c r="I84" s="74"/>
      <c r="P84" s="28">
        <v>2</v>
      </c>
      <c r="Q84" s="28">
        <v>2</v>
      </c>
      <c r="T84" s="28">
        <v>2</v>
      </c>
    </row>
    <row r="85" spans="1:24" x14ac:dyDescent="0.3">
      <c r="A85" s="353" t="s">
        <v>5</v>
      </c>
      <c r="B85" s="388" t="s">
        <v>76</v>
      </c>
      <c r="C85" s="389" t="s">
        <v>77</v>
      </c>
      <c r="D85" s="388" t="s">
        <v>555</v>
      </c>
      <c r="E85" s="389" t="s">
        <v>828</v>
      </c>
      <c r="F85" s="389" t="s">
        <v>78</v>
      </c>
      <c r="G85" s="75" t="s">
        <v>75</v>
      </c>
      <c r="H85" s="388">
        <v>4</v>
      </c>
      <c r="I85" s="74"/>
      <c r="S85" s="28">
        <v>4</v>
      </c>
    </row>
    <row r="86" spans="1:24" x14ac:dyDescent="0.3">
      <c r="A86" s="353" t="s">
        <v>5</v>
      </c>
      <c r="B86" s="388" t="s">
        <v>76</v>
      </c>
      <c r="C86" s="389" t="s">
        <v>77</v>
      </c>
      <c r="D86" s="388" t="s">
        <v>555</v>
      </c>
      <c r="E86" s="389" t="s">
        <v>829</v>
      </c>
      <c r="F86" s="389" t="s">
        <v>80</v>
      </c>
      <c r="G86" s="75" t="s">
        <v>79</v>
      </c>
      <c r="H86" s="388">
        <v>4</v>
      </c>
      <c r="I86" s="74"/>
      <c r="S86" s="28">
        <v>4</v>
      </c>
    </row>
    <row r="87" spans="1:24" x14ac:dyDescent="0.3">
      <c r="A87" s="353" t="s">
        <v>5</v>
      </c>
      <c r="B87" s="388" t="s">
        <v>76</v>
      </c>
      <c r="C87" s="389" t="s">
        <v>77</v>
      </c>
      <c r="D87" s="388" t="s">
        <v>555</v>
      </c>
      <c r="E87" s="389" t="s">
        <v>830</v>
      </c>
      <c r="F87" s="389" t="s">
        <v>82</v>
      </c>
      <c r="G87" s="75" t="s">
        <v>81</v>
      </c>
      <c r="H87" s="388">
        <v>4</v>
      </c>
      <c r="I87" s="74"/>
      <c r="S87" s="28">
        <v>4</v>
      </c>
    </row>
    <row r="88" spans="1:24" x14ac:dyDescent="0.3">
      <c r="A88" s="353" t="s">
        <v>5</v>
      </c>
      <c r="B88" s="388" t="s">
        <v>76</v>
      </c>
      <c r="C88" s="389" t="s">
        <v>77</v>
      </c>
      <c r="D88" s="388" t="s">
        <v>555</v>
      </c>
      <c r="E88" s="389" t="s">
        <v>831</v>
      </c>
      <c r="F88" s="389" t="s">
        <v>84</v>
      </c>
      <c r="G88" s="75" t="s">
        <v>83</v>
      </c>
      <c r="H88" s="388">
        <v>4</v>
      </c>
      <c r="I88" s="74"/>
      <c r="U88" s="28">
        <v>4</v>
      </c>
    </row>
    <row r="89" spans="1:24" x14ac:dyDescent="0.3">
      <c r="A89" s="353" t="s">
        <v>5</v>
      </c>
      <c r="B89" s="388" t="s">
        <v>76</v>
      </c>
      <c r="C89" s="389" t="s">
        <v>77</v>
      </c>
      <c r="D89" s="388" t="s">
        <v>555</v>
      </c>
      <c r="E89" s="389" t="s">
        <v>832</v>
      </c>
      <c r="F89" s="389" t="s">
        <v>86</v>
      </c>
      <c r="G89" s="75" t="s">
        <v>85</v>
      </c>
      <c r="H89" s="388">
        <v>4</v>
      </c>
      <c r="I89" s="74"/>
      <c r="U89" s="28">
        <v>4</v>
      </c>
    </row>
    <row r="90" spans="1:24" x14ac:dyDescent="0.3">
      <c r="A90" s="353" t="s">
        <v>5</v>
      </c>
      <c r="B90" s="388" t="s">
        <v>76</v>
      </c>
      <c r="C90" s="389" t="s">
        <v>77</v>
      </c>
      <c r="D90" s="388" t="s">
        <v>555</v>
      </c>
      <c r="E90" s="389" t="s">
        <v>833</v>
      </c>
      <c r="F90" s="389" t="s">
        <v>88</v>
      </c>
      <c r="G90" s="75" t="s">
        <v>87</v>
      </c>
      <c r="H90" s="388">
        <v>4</v>
      </c>
      <c r="I90" s="74"/>
      <c r="U90" s="28">
        <v>4</v>
      </c>
    </row>
    <row r="91" spans="1:24" x14ac:dyDescent="0.3">
      <c r="A91" s="353" t="s">
        <v>5</v>
      </c>
      <c r="B91" s="388" t="s">
        <v>76</v>
      </c>
      <c r="C91" s="389" t="s">
        <v>77</v>
      </c>
      <c r="D91" s="388" t="s">
        <v>555</v>
      </c>
      <c r="E91" s="389" t="s">
        <v>834</v>
      </c>
      <c r="F91" s="389" t="s">
        <v>90</v>
      </c>
      <c r="G91" s="75" t="s">
        <v>89</v>
      </c>
      <c r="H91" s="388">
        <v>4</v>
      </c>
      <c r="I91" s="74"/>
      <c r="S91" s="28">
        <v>4</v>
      </c>
    </row>
    <row r="92" spans="1:24" x14ac:dyDescent="0.3">
      <c r="A92" s="353" t="s">
        <v>5</v>
      </c>
      <c r="B92" s="388" t="s">
        <v>76</v>
      </c>
      <c r="C92" s="389" t="s">
        <v>77</v>
      </c>
      <c r="D92" s="388" t="s">
        <v>555</v>
      </c>
      <c r="E92" s="389" t="s">
        <v>835</v>
      </c>
      <c r="F92" s="389" t="s">
        <v>92</v>
      </c>
      <c r="G92" s="75" t="s">
        <v>91</v>
      </c>
      <c r="H92" s="388">
        <v>4</v>
      </c>
      <c r="I92" s="74"/>
      <c r="Q92" s="28">
        <v>4</v>
      </c>
    </row>
    <row r="93" spans="1:24" x14ac:dyDescent="0.3">
      <c r="A93" s="353" t="s">
        <v>5</v>
      </c>
      <c r="B93" s="388" t="s">
        <v>76</v>
      </c>
      <c r="C93" s="389" t="s">
        <v>77</v>
      </c>
      <c r="D93" s="388" t="s">
        <v>555</v>
      </c>
      <c r="E93" s="389" t="s">
        <v>977</v>
      </c>
      <c r="F93" s="389" t="s">
        <v>979</v>
      </c>
      <c r="G93" s="75" t="s">
        <v>975</v>
      </c>
      <c r="H93" s="388">
        <v>4</v>
      </c>
      <c r="I93" s="74"/>
      <c r="Q93" s="28">
        <v>4</v>
      </c>
    </row>
    <row r="94" spans="1:24" x14ac:dyDescent="0.3">
      <c r="A94" s="353" t="s">
        <v>5</v>
      </c>
      <c r="B94" s="388" t="s">
        <v>76</v>
      </c>
      <c r="C94" s="389" t="s">
        <v>77</v>
      </c>
      <c r="D94" s="388" t="s">
        <v>555</v>
      </c>
      <c r="E94" s="95" t="s">
        <v>978</v>
      </c>
      <c r="F94" s="389" t="s">
        <v>980</v>
      </c>
      <c r="G94" s="75" t="s">
        <v>976</v>
      </c>
      <c r="H94" s="388">
        <v>4</v>
      </c>
      <c r="I94" s="74"/>
      <c r="Q94" s="28">
        <v>4</v>
      </c>
    </row>
    <row r="95" spans="1:24" x14ac:dyDescent="0.3">
      <c r="A95" s="353" t="s">
        <v>5</v>
      </c>
      <c r="B95" s="388" t="s">
        <v>76</v>
      </c>
      <c r="C95" s="389" t="s">
        <v>174</v>
      </c>
      <c r="D95" s="388" t="s">
        <v>555</v>
      </c>
      <c r="E95" s="389" t="s">
        <v>836</v>
      </c>
      <c r="F95" s="389" t="s">
        <v>183</v>
      </c>
      <c r="G95" s="392" t="s">
        <v>182</v>
      </c>
      <c r="H95" s="388">
        <v>3</v>
      </c>
      <c r="J95" s="28">
        <v>3</v>
      </c>
      <c r="P95" s="28">
        <v>3</v>
      </c>
    </row>
    <row r="96" spans="1:24" x14ac:dyDescent="0.3">
      <c r="A96" s="353" t="s">
        <v>5</v>
      </c>
      <c r="B96" s="388" t="s">
        <v>76</v>
      </c>
      <c r="C96" s="389" t="s">
        <v>174</v>
      </c>
      <c r="D96" s="388" t="s">
        <v>555</v>
      </c>
      <c r="E96" s="389" t="s">
        <v>836</v>
      </c>
      <c r="F96" s="389" t="s">
        <v>183</v>
      </c>
      <c r="G96" s="392" t="s">
        <v>184</v>
      </c>
      <c r="H96" s="388">
        <v>3</v>
      </c>
      <c r="J96" s="28">
        <v>3</v>
      </c>
      <c r="P96" s="28">
        <v>3</v>
      </c>
    </row>
    <row r="97" spans="1:24" x14ac:dyDescent="0.3">
      <c r="A97" s="353" t="s">
        <v>5</v>
      </c>
      <c r="B97" s="388" t="s">
        <v>76</v>
      </c>
      <c r="C97" s="75" t="s">
        <v>70</v>
      </c>
      <c r="D97" s="388" t="s">
        <v>555</v>
      </c>
      <c r="E97" s="389" t="s">
        <v>837</v>
      </c>
      <c r="F97" s="389" t="s">
        <v>98</v>
      </c>
      <c r="G97" s="392" t="s">
        <v>97</v>
      </c>
      <c r="H97" s="388">
        <v>0</v>
      </c>
      <c r="L97" s="28"/>
    </row>
    <row r="98" spans="1:24" x14ac:dyDescent="0.3">
      <c r="A98" s="353" t="s">
        <v>5</v>
      </c>
      <c r="B98" s="388" t="s">
        <v>76</v>
      </c>
      <c r="C98" s="389" t="s">
        <v>100</v>
      </c>
      <c r="D98" s="388" t="s">
        <v>555</v>
      </c>
      <c r="E98" s="389" t="s">
        <v>838</v>
      </c>
      <c r="F98" s="389" t="s">
        <v>101</v>
      </c>
      <c r="G98" s="392" t="s">
        <v>99</v>
      </c>
      <c r="H98" s="388">
        <v>3</v>
      </c>
      <c r="J98" s="28">
        <v>3</v>
      </c>
      <c r="P98" s="28">
        <v>3</v>
      </c>
    </row>
    <row r="99" spans="1:24" x14ac:dyDescent="0.3">
      <c r="A99" s="353" t="s">
        <v>5</v>
      </c>
      <c r="B99" s="388" t="s">
        <v>76</v>
      </c>
      <c r="C99" s="389" t="s">
        <v>100</v>
      </c>
      <c r="D99" s="388" t="s">
        <v>555</v>
      </c>
      <c r="E99" s="389" t="s">
        <v>839</v>
      </c>
      <c r="F99" s="389" t="s">
        <v>103</v>
      </c>
      <c r="G99" s="392" t="s">
        <v>102</v>
      </c>
      <c r="H99" s="388">
        <v>3</v>
      </c>
      <c r="J99" s="28">
        <v>3</v>
      </c>
      <c r="P99" s="28">
        <v>3</v>
      </c>
    </row>
    <row r="100" spans="1:24" x14ac:dyDescent="0.3">
      <c r="A100" s="353" t="s">
        <v>5</v>
      </c>
      <c r="B100" s="388" t="s">
        <v>76</v>
      </c>
      <c r="C100" s="389" t="s">
        <v>100</v>
      </c>
      <c r="D100" s="388" t="s">
        <v>555</v>
      </c>
      <c r="E100" s="389" t="s">
        <v>840</v>
      </c>
      <c r="F100" s="75" t="s">
        <v>594</v>
      </c>
      <c r="G100" s="392" t="s">
        <v>593</v>
      </c>
      <c r="H100" s="388">
        <v>3</v>
      </c>
      <c r="N100" s="28">
        <v>3</v>
      </c>
    </row>
    <row r="101" spans="1:24" s="74" customFormat="1" ht="13" x14ac:dyDescent="0.3">
      <c r="A101" s="74" t="s">
        <v>5</v>
      </c>
      <c r="B101" s="388" t="s">
        <v>76</v>
      </c>
      <c r="C101" s="389" t="s">
        <v>186</v>
      </c>
      <c r="D101" s="388" t="s">
        <v>555</v>
      </c>
      <c r="E101" s="389" t="s">
        <v>491</v>
      </c>
      <c r="F101" s="389" t="s">
        <v>477</v>
      </c>
      <c r="G101" s="507" t="s">
        <v>1626</v>
      </c>
      <c r="H101" s="1">
        <v>1</v>
      </c>
      <c r="I101" s="74">
        <v>1</v>
      </c>
      <c r="J101" s="74">
        <v>1</v>
      </c>
      <c r="K101" s="420">
        <v>1</v>
      </c>
      <c r="L101" s="420">
        <v>1</v>
      </c>
      <c r="N101" s="74">
        <v>1</v>
      </c>
      <c r="O101" s="74">
        <v>1</v>
      </c>
      <c r="P101" s="74">
        <v>1</v>
      </c>
      <c r="Q101" s="74">
        <v>1</v>
      </c>
      <c r="R101" s="74">
        <v>1</v>
      </c>
      <c r="S101" s="74">
        <v>1</v>
      </c>
      <c r="T101" s="74">
        <v>1</v>
      </c>
      <c r="U101" s="74">
        <v>1</v>
      </c>
      <c r="V101" s="74">
        <v>1</v>
      </c>
      <c r="X101" s="74">
        <v>1</v>
      </c>
    </row>
    <row r="102" spans="1:24" x14ac:dyDescent="0.3">
      <c r="A102" s="353" t="s">
        <v>5</v>
      </c>
      <c r="B102" s="388" t="s">
        <v>76</v>
      </c>
      <c r="C102" s="389" t="s">
        <v>186</v>
      </c>
      <c r="D102" s="388" t="s">
        <v>555</v>
      </c>
      <c r="E102" s="389" t="s">
        <v>492</v>
      </c>
      <c r="F102" s="389" t="s">
        <v>493</v>
      </c>
      <c r="G102" s="392" t="s">
        <v>187</v>
      </c>
      <c r="H102" s="1">
        <v>3</v>
      </c>
      <c r="R102" s="28">
        <v>3</v>
      </c>
    </row>
    <row r="103" spans="1:24" s="74" customFormat="1" ht="13" x14ac:dyDescent="0.3">
      <c r="A103" s="74" t="s">
        <v>5</v>
      </c>
      <c r="B103" s="388" t="s">
        <v>76</v>
      </c>
      <c r="C103" s="389" t="s">
        <v>186</v>
      </c>
      <c r="D103" s="388" t="s">
        <v>555</v>
      </c>
      <c r="E103" s="389" t="s">
        <v>494</v>
      </c>
      <c r="F103" s="389" t="s">
        <v>495</v>
      </c>
      <c r="G103" s="507" t="s">
        <v>1627</v>
      </c>
      <c r="H103" s="1">
        <v>1</v>
      </c>
      <c r="I103" s="74">
        <v>1</v>
      </c>
      <c r="J103" s="74">
        <v>1</v>
      </c>
      <c r="K103" s="420">
        <v>1</v>
      </c>
      <c r="L103" s="420">
        <v>1</v>
      </c>
      <c r="N103" s="74">
        <v>1</v>
      </c>
      <c r="O103" s="74">
        <v>1</v>
      </c>
      <c r="P103" s="74">
        <v>1</v>
      </c>
      <c r="Q103" s="74">
        <v>1</v>
      </c>
      <c r="R103" s="74">
        <v>1</v>
      </c>
      <c r="S103" s="74">
        <v>1</v>
      </c>
      <c r="T103" s="74">
        <v>1</v>
      </c>
      <c r="U103" s="74">
        <v>1</v>
      </c>
      <c r="V103" s="74">
        <v>1</v>
      </c>
      <c r="X103" s="74">
        <v>1</v>
      </c>
    </row>
    <row r="104" spans="1:24" x14ac:dyDescent="0.3">
      <c r="A104" s="353" t="s">
        <v>5</v>
      </c>
      <c r="B104" s="388" t="s">
        <v>76</v>
      </c>
      <c r="C104" s="389" t="s">
        <v>186</v>
      </c>
      <c r="D104" s="388" t="s">
        <v>555</v>
      </c>
      <c r="E104" s="389" t="s">
        <v>496</v>
      </c>
      <c r="F104" s="389" t="s">
        <v>497</v>
      </c>
      <c r="G104" s="392" t="s">
        <v>189</v>
      </c>
      <c r="H104" s="1">
        <v>0</v>
      </c>
      <c r="L104" s="28"/>
    </row>
    <row r="105" spans="1:24" x14ac:dyDescent="0.3">
      <c r="A105" s="353" t="s">
        <v>5</v>
      </c>
      <c r="B105" s="388" t="s">
        <v>76</v>
      </c>
      <c r="C105" s="389" t="s">
        <v>186</v>
      </c>
      <c r="D105" s="388" t="s">
        <v>555</v>
      </c>
      <c r="E105" s="389" t="s">
        <v>498</v>
      </c>
      <c r="F105" s="389" t="s">
        <v>499</v>
      </c>
      <c r="G105" s="392" t="s">
        <v>190</v>
      </c>
      <c r="H105" s="1">
        <v>0</v>
      </c>
      <c r="L105" s="28"/>
    </row>
    <row r="106" spans="1:24" x14ac:dyDescent="0.3">
      <c r="A106" s="353" t="s">
        <v>192</v>
      </c>
      <c r="B106" s="390" t="s">
        <v>658</v>
      </c>
      <c r="C106" s="391" t="s">
        <v>993</v>
      </c>
      <c r="D106" s="390" t="s">
        <v>659</v>
      </c>
      <c r="E106" s="391" t="s">
        <v>994</v>
      </c>
      <c r="F106" s="75" t="s">
        <v>995</v>
      </c>
      <c r="G106" s="393" t="s">
        <v>996</v>
      </c>
      <c r="H106" s="390">
        <v>3</v>
      </c>
    </row>
    <row r="107" spans="1:24" x14ac:dyDescent="0.3">
      <c r="A107" s="353" t="s">
        <v>192</v>
      </c>
      <c r="B107" s="390" t="s">
        <v>658</v>
      </c>
      <c r="C107" s="391" t="s">
        <v>993</v>
      </c>
      <c r="D107" s="390" t="s">
        <v>659</v>
      </c>
      <c r="E107" s="391" t="s">
        <v>994</v>
      </c>
      <c r="F107" s="75" t="s">
        <v>995</v>
      </c>
      <c r="G107" s="393" t="s">
        <v>997</v>
      </c>
      <c r="H107" s="390">
        <v>3</v>
      </c>
    </row>
    <row r="108" spans="1:24" s="74" customFormat="1" x14ac:dyDescent="0.3">
      <c r="A108" s="74" t="s">
        <v>192</v>
      </c>
      <c r="B108" s="390" t="s">
        <v>658</v>
      </c>
      <c r="C108" s="391" t="s">
        <v>70</v>
      </c>
      <c r="D108" s="390" t="s">
        <v>659</v>
      </c>
      <c r="E108" s="391" t="s">
        <v>661</v>
      </c>
      <c r="F108" s="75" t="s">
        <v>662</v>
      </c>
      <c r="G108" s="508" t="s">
        <v>660</v>
      </c>
      <c r="H108" s="390">
        <v>1</v>
      </c>
      <c r="I108" s="74">
        <v>1</v>
      </c>
      <c r="J108" s="74">
        <v>1</v>
      </c>
      <c r="K108" s="420">
        <v>1</v>
      </c>
      <c r="L108" s="420">
        <v>1</v>
      </c>
      <c r="M108" s="74">
        <v>1</v>
      </c>
      <c r="N108" s="74">
        <v>1</v>
      </c>
      <c r="O108" s="74">
        <v>1</v>
      </c>
      <c r="P108" s="74">
        <v>1</v>
      </c>
      <c r="Q108" s="74">
        <v>1</v>
      </c>
      <c r="R108" s="74">
        <v>1</v>
      </c>
      <c r="S108" s="74">
        <v>1</v>
      </c>
      <c r="T108" s="74">
        <v>1</v>
      </c>
      <c r="U108" s="74">
        <v>1</v>
      </c>
      <c r="V108" s="74">
        <v>1</v>
      </c>
    </row>
    <row r="109" spans="1:24" s="74" customFormat="1" x14ac:dyDescent="0.3">
      <c r="A109" s="74" t="s">
        <v>192</v>
      </c>
      <c r="B109" s="390" t="s">
        <v>658</v>
      </c>
      <c r="C109" s="391" t="s">
        <v>19</v>
      </c>
      <c r="D109" s="390" t="s">
        <v>659</v>
      </c>
      <c r="E109" s="391" t="s">
        <v>717</v>
      </c>
      <c r="F109" s="75" t="s">
        <v>718</v>
      </c>
      <c r="G109" s="508" t="s">
        <v>719</v>
      </c>
      <c r="H109" s="390">
        <v>1</v>
      </c>
      <c r="I109" s="74">
        <v>1</v>
      </c>
      <c r="J109" s="74">
        <v>1</v>
      </c>
      <c r="K109" s="420">
        <v>1</v>
      </c>
      <c r="L109" s="420">
        <v>1</v>
      </c>
      <c r="M109" s="74">
        <v>1</v>
      </c>
      <c r="N109" s="74">
        <v>1</v>
      </c>
      <c r="O109" s="74">
        <v>1</v>
      </c>
      <c r="P109" s="74">
        <v>1</v>
      </c>
      <c r="Q109" s="74">
        <v>1</v>
      </c>
      <c r="R109" s="74">
        <v>1</v>
      </c>
      <c r="S109" s="74">
        <v>1</v>
      </c>
      <c r="T109" s="74">
        <v>1</v>
      </c>
      <c r="U109" s="74">
        <v>1</v>
      </c>
      <c r="V109" s="74">
        <v>1</v>
      </c>
    </row>
    <row r="110" spans="1:24" s="74" customFormat="1" x14ac:dyDescent="0.3">
      <c r="A110" s="74" t="s">
        <v>192</v>
      </c>
      <c r="B110" s="390" t="s">
        <v>658</v>
      </c>
      <c r="C110" s="391" t="s">
        <v>19</v>
      </c>
      <c r="D110" s="390" t="s">
        <v>659</v>
      </c>
      <c r="E110" s="391" t="s">
        <v>720</v>
      </c>
      <c r="F110" s="75" t="s">
        <v>721</v>
      </c>
      <c r="G110" s="508" t="s">
        <v>722</v>
      </c>
      <c r="H110" s="390">
        <v>1</v>
      </c>
      <c r="I110" s="74">
        <v>1</v>
      </c>
      <c r="J110" s="74">
        <v>1</v>
      </c>
      <c r="K110" s="420">
        <v>1</v>
      </c>
      <c r="L110" s="420">
        <v>1</v>
      </c>
      <c r="M110" s="74">
        <v>1</v>
      </c>
      <c r="N110" s="74">
        <v>1</v>
      </c>
      <c r="O110" s="74">
        <v>1</v>
      </c>
      <c r="P110" s="74">
        <v>1</v>
      </c>
      <c r="Q110" s="74">
        <v>1</v>
      </c>
      <c r="R110" s="74">
        <v>1</v>
      </c>
      <c r="S110" s="74">
        <v>1</v>
      </c>
      <c r="T110" s="74">
        <v>1</v>
      </c>
      <c r="U110" s="74">
        <v>1</v>
      </c>
      <c r="V110" s="74">
        <v>1</v>
      </c>
    </row>
    <row r="111" spans="1:24" x14ac:dyDescent="0.3">
      <c r="A111" s="353" t="s">
        <v>192</v>
      </c>
      <c r="B111" s="390" t="s">
        <v>195</v>
      </c>
      <c r="C111" s="391" t="s">
        <v>174</v>
      </c>
      <c r="D111" s="390" t="s">
        <v>552</v>
      </c>
      <c r="E111" s="391" t="s">
        <v>841</v>
      </c>
      <c r="F111" s="391" t="s">
        <v>20</v>
      </c>
      <c r="G111" s="393" t="s">
        <v>230</v>
      </c>
      <c r="H111" s="388">
        <v>3</v>
      </c>
      <c r="K111" s="420">
        <v>3</v>
      </c>
      <c r="T111" s="28">
        <v>3</v>
      </c>
    </row>
    <row r="112" spans="1:24" x14ac:dyDescent="0.3">
      <c r="A112" s="353" t="s">
        <v>192</v>
      </c>
      <c r="B112" s="390" t="s">
        <v>195</v>
      </c>
      <c r="C112" s="391" t="s">
        <v>174</v>
      </c>
      <c r="D112" s="390" t="s">
        <v>552</v>
      </c>
      <c r="E112" s="391" t="s">
        <v>842</v>
      </c>
      <c r="F112" s="391" t="s">
        <v>20</v>
      </c>
      <c r="G112" s="393" t="s">
        <v>231</v>
      </c>
      <c r="H112" s="388">
        <v>3</v>
      </c>
      <c r="T112" s="28">
        <v>3</v>
      </c>
    </row>
    <row r="113" spans="1:20" x14ac:dyDescent="0.3">
      <c r="A113" s="353" t="s">
        <v>192</v>
      </c>
      <c r="B113" s="390" t="s">
        <v>195</v>
      </c>
      <c r="C113" s="391" t="s">
        <v>174</v>
      </c>
      <c r="D113" s="390" t="s">
        <v>552</v>
      </c>
      <c r="E113" s="391" t="s">
        <v>843</v>
      </c>
      <c r="F113" s="391" t="s">
        <v>20</v>
      </c>
      <c r="G113" s="393" t="s">
        <v>232</v>
      </c>
      <c r="H113" s="388">
        <v>3</v>
      </c>
      <c r="T113" s="28">
        <v>3</v>
      </c>
    </row>
    <row r="114" spans="1:20" x14ac:dyDescent="0.3">
      <c r="A114" s="353" t="s">
        <v>192</v>
      </c>
      <c r="B114" s="390" t="s">
        <v>195</v>
      </c>
      <c r="C114" s="391" t="s">
        <v>196</v>
      </c>
      <c r="D114" s="390" t="s">
        <v>552</v>
      </c>
      <c r="E114" s="391" t="s">
        <v>844</v>
      </c>
      <c r="F114" s="391" t="s">
        <v>197</v>
      </c>
      <c r="G114" s="393" t="s">
        <v>194</v>
      </c>
      <c r="H114" s="388">
        <v>4</v>
      </c>
    </row>
    <row r="115" spans="1:20" x14ac:dyDescent="0.3">
      <c r="A115" s="353" t="s">
        <v>192</v>
      </c>
      <c r="B115" s="390" t="s">
        <v>195</v>
      </c>
      <c r="C115" s="391" t="s">
        <v>196</v>
      </c>
      <c r="D115" s="390" t="s">
        <v>552</v>
      </c>
      <c r="E115" s="391" t="s">
        <v>845</v>
      </c>
      <c r="F115" s="391" t="s">
        <v>215</v>
      </c>
      <c r="G115" s="393" t="s">
        <v>214</v>
      </c>
      <c r="H115" s="388">
        <v>4</v>
      </c>
    </row>
    <row r="116" spans="1:20" x14ac:dyDescent="0.3">
      <c r="A116" s="353" t="s">
        <v>192</v>
      </c>
      <c r="B116" s="390" t="s">
        <v>195</v>
      </c>
      <c r="C116" s="391" t="s">
        <v>196</v>
      </c>
      <c r="D116" s="390" t="s">
        <v>552</v>
      </c>
      <c r="E116" s="391" t="s">
        <v>846</v>
      </c>
      <c r="F116" s="391" t="s">
        <v>217</v>
      </c>
      <c r="G116" s="393" t="s">
        <v>216</v>
      </c>
      <c r="H116" s="388">
        <v>4</v>
      </c>
      <c r="S116" s="28">
        <v>4</v>
      </c>
    </row>
    <row r="117" spans="1:20" x14ac:dyDescent="0.3">
      <c r="A117" s="353" t="s">
        <v>192</v>
      </c>
      <c r="B117" s="390" t="s">
        <v>195</v>
      </c>
      <c r="C117" s="391" t="s">
        <v>196</v>
      </c>
      <c r="D117" s="390" t="s">
        <v>552</v>
      </c>
      <c r="E117" s="391" t="s">
        <v>847</v>
      </c>
      <c r="F117" s="391" t="s">
        <v>219</v>
      </c>
      <c r="G117" s="393" t="s">
        <v>218</v>
      </c>
      <c r="H117" s="388">
        <v>4</v>
      </c>
    </row>
    <row r="118" spans="1:20" x14ac:dyDescent="0.3">
      <c r="A118" s="353" t="s">
        <v>192</v>
      </c>
      <c r="B118" s="390" t="s">
        <v>195</v>
      </c>
      <c r="C118" s="391" t="s">
        <v>196</v>
      </c>
      <c r="D118" s="390" t="s">
        <v>552</v>
      </c>
      <c r="E118" s="391" t="s">
        <v>848</v>
      </c>
      <c r="F118" s="391" t="s">
        <v>221</v>
      </c>
      <c r="G118" s="393" t="s">
        <v>220</v>
      </c>
      <c r="H118" s="388">
        <v>4</v>
      </c>
      <c r="L118" s="420">
        <v>4</v>
      </c>
    </row>
    <row r="119" spans="1:20" x14ac:dyDescent="0.3">
      <c r="A119" s="353" t="s">
        <v>192</v>
      </c>
      <c r="B119" s="390" t="s">
        <v>195</v>
      </c>
      <c r="C119" s="391" t="s">
        <v>196</v>
      </c>
      <c r="D119" s="390" t="s">
        <v>552</v>
      </c>
      <c r="E119" s="391" t="s">
        <v>849</v>
      </c>
      <c r="F119" s="391" t="s">
        <v>223</v>
      </c>
      <c r="G119" s="393" t="s">
        <v>222</v>
      </c>
      <c r="H119" s="388">
        <v>4</v>
      </c>
      <c r="K119" s="420">
        <v>4</v>
      </c>
    </row>
    <row r="120" spans="1:20" x14ac:dyDescent="0.3">
      <c r="A120" s="353" t="s">
        <v>192</v>
      </c>
      <c r="B120" s="390" t="s">
        <v>195</v>
      </c>
      <c r="C120" s="391" t="s">
        <v>196</v>
      </c>
      <c r="D120" s="390" t="s">
        <v>552</v>
      </c>
      <c r="E120" s="391" t="s">
        <v>850</v>
      </c>
      <c r="F120" s="391" t="s">
        <v>225</v>
      </c>
      <c r="G120" s="393" t="s">
        <v>224</v>
      </c>
      <c r="H120" s="388">
        <v>4</v>
      </c>
      <c r="K120" s="420">
        <v>4</v>
      </c>
    </row>
    <row r="121" spans="1:20" x14ac:dyDescent="0.3">
      <c r="A121" s="353" t="s">
        <v>192</v>
      </c>
      <c r="B121" s="390" t="s">
        <v>195</v>
      </c>
      <c r="C121" s="391" t="s">
        <v>196</v>
      </c>
      <c r="D121" s="390" t="s">
        <v>552</v>
      </c>
      <c r="E121" s="391" t="s">
        <v>851</v>
      </c>
      <c r="F121" s="391" t="s">
        <v>227</v>
      </c>
      <c r="G121" s="393" t="s">
        <v>226</v>
      </c>
      <c r="H121" s="388">
        <v>4</v>
      </c>
      <c r="K121" s="420">
        <v>4</v>
      </c>
    </row>
    <row r="122" spans="1:20" x14ac:dyDescent="0.3">
      <c r="A122" s="353" t="s">
        <v>192</v>
      </c>
      <c r="B122" s="390" t="s">
        <v>195</v>
      </c>
      <c r="C122" s="391" t="s">
        <v>196</v>
      </c>
      <c r="D122" s="390" t="s">
        <v>552</v>
      </c>
      <c r="E122" s="391" t="s">
        <v>852</v>
      </c>
      <c r="F122" s="391" t="s">
        <v>199</v>
      </c>
      <c r="G122" s="393" t="s">
        <v>198</v>
      </c>
      <c r="H122" s="388">
        <v>4</v>
      </c>
      <c r="L122" s="420">
        <v>4</v>
      </c>
    </row>
    <row r="123" spans="1:20" x14ac:dyDescent="0.3">
      <c r="A123" s="353" t="s">
        <v>192</v>
      </c>
      <c r="B123" s="390" t="s">
        <v>195</v>
      </c>
      <c r="C123" s="391" t="s">
        <v>196</v>
      </c>
      <c r="D123" s="390" t="s">
        <v>552</v>
      </c>
      <c r="E123" s="391" t="s">
        <v>853</v>
      </c>
      <c r="F123" s="391" t="s">
        <v>201</v>
      </c>
      <c r="G123" s="393" t="s">
        <v>200</v>
      </c>
      <c r="H123" s="388">
        <v>4</v>
      </c>
      <c r="L123" s="420">
        <v>4</v>
      </c>
    </row>
    <row r="124" spans="1:20" x14ac:dyDescent="0.3">
      <c r="A124" s="353" t="s">
        <v>192</v>
      </c>
      <c r="B124" s="390" t="s">
        <v>195</v>
      </c>
      <c r="C124" s="391" t="s">
        <v>196</v>
      </c>
      <c r="D124" s="390" t="s">
        <v>552</v>
      </c>
      <c r="E124" s="391" t="s">
        <v>854</v>
      </c>
      <c r="F124" s="391" t="s">
        <v>203</v>
      </c>
      <c r="G124" s="393" t="s">
        <v>202</v>
      </c>
      <c r="H124" s="388">
        <v>4</v>
      </c>
    </row>
    <row r="125" spans="1:20" x14ac:dyDescent="0.3">
      <c r="A125" s="353" t="s">
        <v>192</v>
      </c>
      <c r="B125" s="390" t="s">
        <v>195</v>
      </c>
      <c r="C125" s="391" t="s">
        <v>196</v>
      </c>
      <c r="D125" s="390" t="s">
        <v>552</v>
      </c>
      <c r="E125" s="391" t="s">
        <v>855</v>
      </c>
      <c r="F125" s="391" t="s">
        <v>205</v>
      </c>
      <c r="G125" s="393" t="s">
        <v>204</v>
      </c>
      <c r="H125" s="388">
        <v>4</v>
      </c>
      <c r="S125" s="28">
        <v>4</v>
      </c>
    </row>
    <row r="126" spans="1:20" x14ac:dyDescent="0.3">
      <c r="A126" s="353" t="s">
        <v>192</v>
      </c>
      <c r="B126" s="390" t="s">
        <v>195</v>
      </c>
      <c r="C126" s="391" t="s">
        <v>196</v>
      </c>
      <c r="D126" s="390" t="s">
        <v>552</v>
      </c>
      <c r="E126" s="391" t="s">
        <v>791</v>
      </c>
      <c r="F126" s="391" t="s">
        <v>207</v>
      </c>
      <c r="G126" s="393" t="s">
        <v>206</v>
      </c>
      <c r="H126" s="388">
        <v>4</v>
      </c>
      <c r="S126" s="28">
        <v>4</v>
      </c>
    </row>
    <row r="127" spans="1:20" x14ac:dyDescent="0.3">
      <c r="A127" s="353" t="s">
        <v>192</v>
      </c>
      <c r="B127" s="390" t="s">
        <v>195</v>
      </c>
      <c r="C127" s="391" t="s">
        <v>196</v>
      </c>
      <c r="D127" s="390" t="s">
        <v>552</v>
      </c>
      <c r="E127" s="391" t="s">
        <v>856</v>
      </c>
      <c r="F127" s="391" t="s">
        <v>209</v>
      </c>
      <c r="G127" s="393" t="s">
        <v>208</v>
      </c>
      <c r="H127" s="388">
        <v>4</v>
      </c>
      <c r="L127" s="420">
        <v>4</v>
      </c>
    </row>
    <row r="128" spans="1:20" x14ac:dyDescent="0.3">
      <c r="A128" s="353" t="s">
        <v>192</v>
      </c>
      <c r="B128" s="390" t="s">
        <v>195</v>
      </c>
      <c r="C128" s="391" t="s">
        <v>196</v>
      </c>
      <c r="D128" s="390" t="s">
        <v>552</v>
      </c>
      <c r="E128" s="391" t="s">
        <v>857</v>
      </c>
      <c r="F128" s="391" t="s">
        <v>211</v>
      </c>
      <c r="G128" s="393" t="s">
        <v>210</v>
      </c>
      <c r="H128" s="388">
        <v>4</v>
      </c>
    </row>
    <row r="129" spans="1:22" x14ac:dyDescent="0.3">
      <c r="A129" s="353" t="s">
        <v>192</v>
      </c>
      <c r="B129" s="390" t="s">
        <v>195</v>
      </c>
      <c r="C129" s="391" t="s">
        <v>196</v>
      </c>
      <c r="D129" s="390" t="s">
        <v>552</v>
      </c>
      <c r="E129" s="391" t="s">
        <v>858</v>
      </c>
      <c r="F129" s="391" t="s">
        <v>213</v>
      </c>
      <c r="G129" s="393" t="s">
        <v>212</v>
      </c>
      <c r="H129" s="388">
        <v>4</v>
      </c>
      <c r="L129" s="420">
        <v>4</v>
      </c>
    </row>
    <row r="130" spans="1:22" x14ac:dyDescent="0.3">
      <c r="A130" s="353" t="s">
        <v>192</v>
      </c>
      <c r="B130" s="390" t="s">
        <v>195</v>
      </c>
      <c r="C130" s="391" t="s">
        <v>196</v>
      </c>
      <c r="D130" s="390" t="s">
        <v>552</v>
      </c>
      <c r="E130" s="391" t="s">
        <v>859</v>
      </c>
      <c r="F130" s="391" t="s">
        <v>229</v>
      </c>
      <c r="G130" s="393" t="s">
        <v>228</v>
      </c>
      <c r="H130" s="388">
        <v>4</v>
      </c>
      <c r="V130" s="28">
        <v>4</v>
      </c>
    </row>
    <row r="131" spans="1:22" x14ac:dyDescent="0.3">
      <c r="A131" s="353" t="s">
        <v>192</v>
      </c>
      <c r="B131" s="390" t="s">
        <v>195</v>
      </c>
      <c r="C131" s="391" t="s">
        <v>196</v>
      </c>
      <c r="D131" s="390" t="s">
        <v>552</v>
      </c>
      <c r="E131" s="391" t="s">
        <v>615</v>
      </c>
      <c r="F131" s="75" t="s">
        <v>616</v>
      </c>
      <c r="G131" s="393" t="s">
        <v>291</v>
      </c>
      <c r="H131" s="390">
        <v>3</v>
      </c>
    </row>
    <row r="132" spans="1:22" x14ac:dyDescent="0.3">
      <c r="A132" s="353" t="s">
        <v>192</v>
      </c>
      <c r="B132" s="390" t="s">
        <v>195</v>
      </c>
      <c r="C132" s="391" t="s">
        <v>196</v>
      </c>
      <c r="D132" s="390" t="s">
        <v>552</v>
      </c>
      <c r="E132" s="391" t="s">
        <v>617</v>
      </c>
      <c r="F132" s="75" t="s">
        <v>618</v>
      </c>
      <c r="G132" s="393" t="s">
        <v>292</v>
      </c>
      <c r="H132" s="390">
        <v>3</v>
      </c>
      <c r="V132" s="28">
        <v>3</v>
      </c>
    </row>
    <row r="133" spans="1:22" x14ac:dyDescent="0.3">
      <c r="A133" s="353" t="s">
        <v>192</v>
      </c>
      <c r="B133" s="390" t="s">
        <v>195</v>
      </c>
      <c r="C133" s="391" t="s">
        <v>196</v>
      </c>
      <c r="D133" s="390" t="s">
        <v>552</v>
      </c>
      <c r="E133" s="391" t="s">
        <v>614</v>
      </c>
      <c r="F133" s="75" t="s">
        <v>613</v>
      </c>
      <c r="G133" s="393" t="s">
        <v>293</v>
      </c>
      <c r="H133" s="390">
        <v>3</v>
      </c>
      <c r="V133" s="28">
        <v>3</v>
      </c>
    </row>
    <row r="134" spans="1:22" x14ac:dyDescent="0.3">
      <c r="A134" s="353" t="s">
        <v>192</v>
      </c>
      <c r="B134" s="390" t="s">
        <v>195</v>
      </c>
      <c r="C134" s="391" t="s">
        <v>196</v>
      </c>
      <c r="D134" s="390" t="s">
        <v>552</v>
      </c>
      <c r="E134" s="391" t="s">
        <v>860</v>
      </c>
      <c r="F134" s="391" t="s">
        <v>663</v>
      </c>
      <c r="G134" s="393" t="s">
        <v>461</v>
      </c>
      <c r="H134" s="388">
        <v>4</v>
      </c>
    </row>
    <row r="135" spans="1:22" x14ac:dyDescent="0.3">
      <c r="A135" s="353" t="s">
        <v>192</v>
      </c>
      <c r="B135" s="390" t="s">
        <v>658</v>
      </c>
      <c r="C135" s="391" t="s">
        <v>9</v>
      </c>
      <c r="D135" s="390" t="s">
        <v>553</v>
      </c>
      <c r="E135" s="391" t="s">
        <v>792</v>
      </c>
      <c r="F135" s="75" t="s">
        <v>793</v>
      </c>
      <c r="G135" s="393" t="s">
        <v>294</v>
      </c>
      <c r="H135" s="390">
        <v>2</v>
      </c>
      <c r="S135" s="28">
        <v>2</v>
      </c>
    </row>
    <row r="136" spans="1:22" s="74" customFormat="1" x14ac:dyDescent="0.3">
      <c r="A136" s="74" t="s">
        <v>192</v>
      </c>
      <c r="B136" s="390" t="s">
        <v>658</v>
      </c>
      <c r="C136" s="391" t="s">
        <v>9</v>
      </c>
      <c r="D136" s="390" t="s">
        <v>553</v>
      </c>
      <c r="E136" s="391" t="s">
        <v>792</v>
      </c>
      <c r="F136" s="75" t="s">
        <v>794</v>
      </c>
      <c r="G136" s="508" t="s">
        <v>399</v>
      </c>
      <c r="H136" s="390">
        <v>1</v>
      </c>
      <c r="I136" s="74">
        <v>1</v>
      </c>
      <c r="J136" s="74">
        <v>1</v>
      </c>
      <c r="K136" s="420">
        <v>1</v>
      </c>
      <c r="L136" s="420">
        <v>1</v>
      </c>
      <c r="M136" s="74">
        <v>1</v>
      </c>
      <c r="N136" s="74">
        <v>1</v>
      </c>
      <c r="O136" s="74">
        <v>1</v>
      </c>
      <c r="P136" s="74">
        <v>1</v>
      </c>
      <c r="Q136" s="74">
        <v>1</v>
      </c>
      <c r="R136" s="74">
        <v>1</v>
      </c>
      <c r="S136" s="74">
        <v>1</v>
      </c>
      <c r="T136" s="74">
        <v>1</v>
      </c>
      <c r="U136" s="74">
        <v>1</v>
      </c>
      <c r="V136" s="74">
        <v>1</v>
      </c>
    </row>
    <row r="137" spans="1:22" s="74" customFormat="1" x14ac:dyDescent="0.3">
      <c r="A137" s="74" t="s">
        <v>192</v>
      </c>
      <c r="B137" s="390" t="s">
        <v>658</v>
      </c>
      <c r="C137" s="391" t="s">
        <v>9</v>
      </c>
      <c r="D137" s="390" t="s">
        <v>553</v>
      </c>
      <c r="E137" s="391" t="s">
        <v>795</v>
      </c>
      <c r="F137" s="391" t="s">
        <v>400</v>
      </c>
      <c r="G137" s="508" t="s">
        <v>679</v>
      </c>
      <c r="H137" s="390">
        <v>1</v>
      </c>
      <c r="I137" s="74">
        <v>1</v>
      </c>
      <c r="J137" s="74">
        <v>1</v>
      </c>
      <c r="K137" s="420">
        <v>1</v>
      </c>
      <c r="L137" s="420">
        <v>1</v>
      </c>
      <c r="M137" s="74">
        <v>1</v>
      </c>
      <c r="N137" s="74">
        <v>1</v>
      </c>
      <c r="O137" s="74">
        <v>1</v>
      </c>
      <c r="P137" s="74">
        <v>1</v>
      </c>
      <c r="Q137" s="74">
        <v>1</v>
      </c>
      <c r="R137" s="74">
        <v>1</v>
      </c>
      <c r="S137" s="74">
        <v>1</v>
      </c>
      <c r="T137" s="74">
        <v>1</v>
      </c>
      <c r="U137" s="74">
        <v>1</v>
      </c>
      <c r="V137" s="74">
        <v>1</v>
      </c>
    </row>
    <row r="138" spans="1:22" ht="24" x14ac:dyDescent="0.3">
      <c r="A138" s="353" t="s">
        <v>192</v>
      </c>
      <c r="B138" s="388" t="s">
        <v>234</v>
      </c>
      <c r="C138" s="391" t="s">
        <v>500</v>
      </c>
      <c r="D138" s="390" t="s">
        <v>553</v>
      </c>
      <c r="E138" s="391" t="s">
        <v>501</v>
      </c>
      <c r="F138" s="391" t="s">
        <v>502</v>
      </c>
      <c r="G138" s="393" t="s">
        <v>295</v>
      </c>
      <c r="H138" s="1">
        <v>0</v>
      </c>
      <c r="L138" s="28"/>
    </row>
    <row r="139" spans="1:22" ht="24" x14ac:dyDescent="0.3">
      <c r="A139" s="353" t="s">
        <v>192</v>
      </c>
      <c r="B139" s="388" t="s">
        <v>234</v>
      </c>
      <c r="C139" s="391" t="s">
        <v>500</v>
      </c>
      <c r="D139" s="390" t="s">
        <v>553</v>
      </c>
      <c r="E139" s="391" t="s">
        <v>503</v>
      </c>
      <c r="F139" s="391" t="s">
        <v>504</v>
      </c>
      <c r="G139" s="393" t="s">
        <v>304</v>
      </c>
      <c r="H139" s="1">
        <v>0</v>
      </c>
      <c r="L139" s="28"/>
    </row>
    <row r="140" spans="1:22" ht="24" x14ac:dyDescent="0.3">
      <c r="A140" s="353" t="s">
        <v>192</v>
      </c>
      <c r="B140" s="388" t="s">
        <v>234</v>
      </c>
      <c r="C140" s="391" t="s">
        <v>500</v>
      </c>
      <c r="D140" s="390" t="s">
        <v>553</v>
      </c>
      <c r="E140" s="391" t="s">
        <v>505</v>
      </c>
      <c r="F140" s="391" t="s">
        <v>546</v>
      </c>
      <c r="G140" s="393" t="s">
        <v>305</v>
      </c>
      <c r="H140" s="1">
        <v>0</v>
      </c>
      <c r="L140" s="28"/>
    </row>
    <row r="141" spans="1:22" ht="24" x14ac:dyDescent="0.3">
      <c r="A141" s="353" t="s">
        <v>192</v>
      </c>
      <c r="B141" s="388" t="s">
        <v>234</v>
      </c>
      <c r="C141" s="391" t="s">
        <v>500</v>
      </c>
      <c r="D141" s="390" t="s">
        <v>553</v>
      </c>
      <c r="E141" s="391" t="s">
        <v>506</v>
      </c>
      <c r="F141" s="391" t="s">
        <v>507</v>
      </c>
      <c r="G141" s="393" t="s">
        <v>306</v>
      </c>
      <c r="H141" s="1">
        <v>0</v>
      </c>
      <c r="L141" s="28"/>
    </row>
    <row r="142" spans="1:22" ht="24" x14ac:dyDescent="0.3">
      <c r="A142" s="353" t="s">
        <v>192</v>
      </c>
      <c r="B142" s="388" t="s">
        <v>234</v>
      </c>
      <c r="C142" s="391" t="s">
        <v>500</v>
      </c>
      <c r="D142" s="390" t="s">
        <v>553</v>
      </c>
      <c r="E142" s="391" t="s">
        <v>508</v>
      </c>
      <c r="F142" s="391" t="s">
        <v>509</v>
      </c>
      <c r="G142" s="393" t="s">
        <v>307</v>
      </c>
      <c r="H142" s="1">
        <v>0</v>
      </c>
      <c r="L142" s="28"/>
    </row>
    <row r="143" spans="1:22" ht="24" x14ac:dyDescent="0.3">
      <c r="A143" s="353" t="s">
        <v>192</v>
      </c>
      <c r="B143" s="388" t="s">
        <v>234</v>
      </c>
      <c r="C143" s="391" t="s">
        <v>500</v>
      </c>
      <c r="D143" s="390" t="s">
        <v>553</v>
      </c>
      <c r="E143" s="391" t="s">
        <v>510</v>
      </c>
      <c r="F143" s="394" t="s">
        <v>511</v>
      </c>
      <c r="G143" s="393" t="s">
        <v>308</v>
      </c>
      <c r="H143" s="1">
        <v>0</v>
      </c>
      <c r="L143" s="28"/>
    </row>
    <row r="144" spans="1:22" ht="24" x14ac:dyDescent="0.3">
      <c r="A144" s="353" t="s">
        <v>192</v>
      </c>
      <c r="B144" s="388" t="s">
        <v>234</v>
      </c>
      <c r="C144" s="391" t="s">
        <v>500</v>
      </c>
      <c r="D144" s="390" t="s">
        <v>553</v>
      </c>
      <c r="E144" s="391" t="s">
        <v>512</v>
      </c>
      <c r="F144" s="394" t="s">
        <v>513</v>
      </c>
      <c r="G144" s="393" t="s">
        <v>309</v>
      </c>
      <c r="H144" s="1">
        <v>0</v>
      </c>
      <c r="L144" s="28"/>
    </row>
    <row r="145" spans="1:12" ht="24" x14ac:dyDescent="0.3">
      <c r="A145" s="353" t="s">
        <v>192</v>
      </c>
      <c r="B145" s="388" t="s">
        <v>234</v>
      </c>
      <c r="C145" s="391" t="s">
        <v>500</v>
      </c>
      <c r="D145" s="390" t="s">
        <v>553</v>
      </c>
      <c r="E145" s="391" t="s">
        <v>514</v>
      </c>
      <c r="F145" s="391" t="s">
        <v>515</v>
      </c>
      <c r="G145" s="393" t="s">
        <v>310</v>
      </c>
      <c r="H145" s="1">
        <v>0</v>
      </c>
      <c r="L145" s="28"/>
    </row>
    <row r="146" spans="1:12" ht="24" x14ac:dyDescent="0.3">
      <c r="A146" s="353" t="s">
        <v>192</v>
      </c>
      <c r="B146" s="388" t="s">
        <v>234</v>
      </c>
      <c r="C146" s="391" t="s">
        <v>500</v>
      </c>
      <c r="D146" s="390" t="s">
        <v>553</v>
      </c>
      <c r="E146" s="391" t="s">
        <v>516</v>
      </c>
      <c r="F146" s="391" t="s">
        <v>517</v>
      </c>
      <c r="G146" s="393" t="s">
        <v>311</v>
      </c>
      <c r="H146" s="1">
        <v>0</v>
      </c>
      <c r="L146" s="28"/>
    </row>
    <row r="147" spans="1:12" ht="24" x14ac:dyDescent="0.3">
      <c r="A147" s="353" t="s">
        <v>192</v>
      </c>
      <c r="B147" s="388" t="s">
        <v>234</v>
      </c>
      <c r="C147" s="391" t="s">
        <v>500</v>
      </c>
      <c r="D147" s="390" t="s">
        <v>553</v>
      </c>
      <c r="E147" s="391" t="s">
        <v>518</v>
      </c>
      <c r="F147" s="391" t="s">
        <v>519</v>
      </c>
      <c r="G147" s="393" t="s">
        <v>312</v>
      </c>
      <c r="H147" s="1">
        <v>0</v>
      </c>
      <c r="L147" s="28"/>
    </row>
    <row r="148" spans="1:12" ht="24" x14ac:dyDescent="0.3">
      <c r="A148" s="353" t="s">
        <v>192</v>
      </c>
      <c r="B148" s="388" t="s">
        <v>234</v>
      </c>
      <c r="C148" s="391" t="s">
        <v>500</v>
      </c>
      <c r="D148" s="390" t="s">
        <v>553</v>
      </c>
      <c r="E148" s="391" t="s">
        <v>547</v>
      </c>
      <c r="F148" s="394" t="s">
        <v>548</v>
      </c>
      <c r="G148" s="393" t="s">
        <v>313</v>
      </c>
      <c r="H148" s="1">
        <v>0</v>
      </c>
      <c r="L148" s="28"/>
    </row>
    <row r="149" spans="1:12" ht="24" x14ac:dyDescent="0.3">
      <c r="A149" s="353" t="s">
        <v>192</v>
      </c>
      <c r="B149" s="388" t="s">
        <v>234</v>
      </c>
      <c r="C149" s="391" t="s">
        <v>500</v>
      </c>
      <c r="D149" s="390" t="s">
        <v>553</v>
      </c>
      <c r="E149" s="391" t="s">
        <v>520</v>
      </c>
      <c r="F149" s="394" t="s">
        <v>521</v>
      </c>
      <c r="G149" s="393" t="s">
        <v>296</v>
      </c>
      <c r="H149" s="1">
        <v>0</v>
      </c>
      <c r="L149" s="28"/>
    </row>
    <row r="150" spans="1:12" ht="24" x14ac:dyDescent="0.3">
      <c r="A150" s="353" t="s">
        <v>192</v>
      </c>
      <c r="B150" s="388" t="s">
        <v>234</v>
      </c>
      <c r="C150" s="391" t="s">
        <v>500</v>
      </c>
      <c r="D150" s="390" t="s">
        <v>553</v>
      </c>
      <c r="E150" s="391" t="s">
        <v>522</v>
      </c>
      <c r="F150" s="394" t="s">
        <v>523</v>
      </c>
      <c r="G150" s="393" t="s">
        <v>314</v>
      </c>
      <c r="H150" s="1">
        <v>0</v>
      </c>
      <c r="L150" s="28"/>
    </row>
    <row r="151" spans="1:12" ht="24" x14ac:dyDescent="0.3">
      <c r="A151" s="353" t="s">
        <v>192</v>
      </c>
      <c r="B151" s="388" t="s">
        <v>234</v>
      </c>
      <c r="C151" s="391" t="s">
        <v>500</v>
      </c>
      <c r="D151" s="390" t="s">
        <v>553</v>
      </c>
      <c r="E151" s="395" t="s">
        <v>982</v>
      </c>
      <c r="F151" s="394" t="s">
        <v>983</v>
      </c>
      <c r="G151" s="393" t="s">
        <v>981</v>
      </c>
      <c r="H151" s="1">
        <v>0</v>
      </c>
      <c r="L151" s="28"/>
    </row>
    <row r="152" spans="1:12" ht="24" x14ac:dyDescent="0.3">
      <c r="A152" s="353" t="s">
        <v>192</v>
      </c>
      <c r="B152" s="388" t="s">
        <v>234</v>
      </c>
      <c r="C152" s="391" t="s">
        <v>500</v>
      </c>
      <c r="D152" s="390" t="s">
        <v>553</v>
      </c>
      <c r="E152" s="391" t="s">
        <v>524</v>
      </c>
      <c r="F152" s="391" t="s">
        <v>525</v>
      </c>
      <c r="G152" s="393" t="s">
        <v>297</v>
      </c>
      <c r="H152" s="1">
        <v>0</v>
      </c>
      <c r="L152" s="28"/>
    </row>
    <row r="153" spans="1:12" ht="24" x14ac:dyDescent="0.3">
      <c r="A153" s="353" t="s">
        <v>192</v>
      </c>
      <c r="B153" s="388" t="s">
        <v>234</v>
      </c>
      <c r="C153" s="391" t="s">
        <v>500</v>
      </c>
      <c r="D153" s="390" t="s">
        <v>553</v>
      </c>
      <c r="E153" s="391" t="s">
        <v>526</v>
      </c>
      <c r="F153" s="391" t="s">
        <v>527</v>
      </c>
      <c r="G153" s="393" t="s">
        <v>298</v>
      </c>
      <c r="H153" s="1">
        <v>0</v>
      </c>
      <c r="L153" s="28"/>
    </row>
    <row r="154" spans="1:12" ht="24" x14ac:dyDescent="0.3">
      <c r="A154" s="353" t="s">
        <v>192</v>
      </c>
      <c r="B154" s="388" t="s">
        <v>234</v>
      </c>
      <c r="C154" s="391" t="s">
        <v>500</v>
      </c>
      <c r="D154" s="390" t="s">
        <v>553</v>
      </c>
      <c r="E154" s="391" t="s">
        <v>528</v>
      </c>
      <c r="F154" s="391" t="s">
        <v>529</v>
      </c>
      <c r="G154" s="393" t="s">
        <v>299</v>
      </c>
      <c r="H154" s="1">
        <v>0</v>
      </c>
      <c r="L154" s="28"/>
    </row>
    <row r="155" spans="1:12" ht="24" x14ac:dyDescent="0.3">
      <c r="A155" s="353" t="s">
        <v>192</v>
      </c>
      <c r="B155" s="388" t="s">
        <v>234</v>
      </c>
      <c r="C155" s="391" t="s">
        <v>500</v>
      </c>
      <c r="D155" s="390" t="s">
        <v>553</v>
      </c>
      <c r="E155" s="391" t="s">
        <v>530</v>
      </c>
      <c r="F155" s="391" t="s">
        <v>736</v>
      </c>
      <c r="G155" s="393" t="s">
        <v>300</v>
      </c>
      <c r="H155" s="1">
        <v>0</v>
      </c>
      <c r="L155" s="28"/>
    </row>
    <row r="156" spans="1:12" ht="24" x14ac:dyDescent="0.3">
      <c r="A156" s="353" t="s">
        <v>192</v>
      </c>
      <c r="B156" s="388" t="s">
        <v>234</v>
      </c>
      <c r="C156" s="391" t="s">
        <v>500</v>
      </c>
      <c r="D156" s="390" t="s">
        <v>553</v>
      </c>
      <c r="E156" s="391" t="s">
        <v>531</v>
      </c>
      <c r="F156" s="391" t="s">
        <v>532</v>
      </c>
      <c r="G156" s="393" t="s">
        <v>301</v>
      </c>
      <c r="H156" s="1">
        <v>0</v>
      </c>
      <c r="L156" s="28"/>
    </row>
    <row r="157" spans="1:12" ht="24" x14ac:dyDescent="0.3">
      <c r="A157" s="353" t="s">
        <v>192</v>
      </c>
      <c r="B157" s="388" t="s">
        <v>234</v>
      </c>
      <c r="C157" s="391" t="s">
        <v>500</v>
      </c>
      <c r="D157" s="390" t="s">
        <v>553</v>
      </c>
      <c r="E157" s="391" t="s">
        <v>533</v>
      </c>
      <c r="F157" s="391" t="s">
        <v>735</v>
      </c>
      <c r="G157" s="393" t="s">
        <v>302</v>
      </c>
      <c r="H157" s="1">
        <v>0</v>
      </c>
      <c r="L157" s="28"/>
    </row>
    <row r="158" spans="1:12" ht="24" x14ac:dyDescent="0.3">
      <c r="A158" s="353" t="s">
        <v>192</v>
      </c>
      <c r="B158" s="388" t="s">
        <v>234</v>
      </c>
      <c r="C158" s="391" t="s">
        <v>500</v>
      </c>
      <c r="D158" s="390" t="s">
        <v>553</v>
      </c>
      <c r="E158" s="391" t="s">
        <v>534</v>
      </c>
      <c r="F158" s="391" t="s">
        <v>535</v>
      </c>
      <c r="G158" s="393" t="s">
        <v>303</v>
      </c>
      <c r="H158" s="1">
        <v>0</v>
      </c>
      <c r="L158" s="28"/>
    </row>
    <row r="159" spans="1:12" ht="24" x14ac:dyDescent="0.3">
      <c r="A159" s="353" t="s">
        <v>192</v>
      </c>
      <c r="B159" s="390" t="s">
        <v>234</v>
      </c>
      <c r="C159" s="391" t="s">
        <v>49</v>
      </c>
      <c r="D159" s="390" t="s">
        <v>553</v>
      </c>
      <c r="E159" s="391" t="s">
        <v>861</v>
      </c>
      <c r="F159" s="391" t="s">
        <v>235</v>
      </c>
      <c r="G159" s="393" t="s">
        <v>233</v>
      </c>
      <c r="H159" s="1">
        <v>0</v>
      </c>
      <c r="L159" s="28"/>
    </row>
    <row r="160" spans="1:12" ht="24" x14ac:dyDescent="0.3">
      <c r="A160" s="353" t="s">
        <v>192</v>
      </c>
      <c r="B160" s="390" t="s">
        <v>234</v>
      </c>
      <c r="C160" s="391" t="s">
        <v>49</v>
      </c>
      <c r="D160" s="390" t="s">
        <v>553</v>
      </c>
      <c r="E160" s="391" t="s">
        <v>575</v>
      </c>
      <c r="F160" s="75" t="s">
        <v>576</v>
      </c>
      <c r="G160" s="393" t="s">
        <v>319</v>
      </c>
      <c r="H160" s="1">
        <v>0</v>
      </c>
      <c r="L160" s="28"/>
    </row>
    <row r="161" spans="1:12" ht="24" x14ac:dyDescent="0.3">
      <c r="A161" s="353" t="s">
        <v>192</v>
      </c>
      <c r="B161" s="390" t="s">
        <v>234</v>
      </c>
      <c r="C161" s="391" t="s">
        <v>49</v>
      </c>
      <c r="D161" s="390" t="s">
        <v>553</v>
      </c>
      <c r="E161" s="391" t="s">
        <v>577</v>
      </c>
      <c r="F161" s="75" t="s">
        <v>578</v>
      </c>
      <c r="G161" s="393" t="s">
        <v>320</v>
      </c>
      <c r="H161" s="1">
        <v>0</v>
      </c>
      <c r="L161" s="28"/>
    </row>
    <row r="162" spans="1:12" ht="24" x14ac:dyDescent="0.3">
      <c r="A162" s="353" t="s">
        <v>192</v>
      </c>
      <c r="B162" s="390" t="s">
        <v>234</v>
      </c>
      <c r="C162" s="391" t="s">
        <v>49</v>
      </c>
      <c r="D162" s="390" t="s">
        <v>553</v>
      </c>
      <c r="E162" s="75" t="s">
        <v>579</v>
      </c>
      <c r="F162" s="391" t="s">
        <v>691</v>
      </c>
      <c r="G162" s="393" t="s">
        <v>321</v>
      </c>
      <c r="H162" s="1">
        <v>0</v>
      </c>
      <c r="L162" s="28"/>
    </row>
    <row r="163" spans="1:12" ht="24" x14ac:dyDescent="0.3">
      <c r="A163" s="353" t="s">
        <v>192</v>
      </c>
      <c r="B163" s="390" t="s">
        <v>234</v>
      </c>
      <c r="C163" s="391" t="s">
        <v>49</v>
      </c>
      <c r="D163" s="390" t="s">
        <v>553</v>
      </c>
      <c r="E163" s="391" t="s">
        <v>1216</v>
      </c>
      <c r="F163" s="391" t="s">
        <v>240</v>
      </c>
      <c r="G163" s="393" t="s">
        <v>239</v>
      </c>
      <c r="H163" s="1">
        <v>0</v>
      </c>
      <c r="L163" s="28"/>
    </row>
    <row r="164" spans="1:12" ht="24" x14ac:dyDescent="0.3">
      <c r="A164" s="353" t="s">
        <v>192</v>
      </c>
      <c r="B164" s="390" t="s">
        <v>234</v>
      </c>
      <c r="C164" s="391" t="s">
        <v>49</v>
      </c>
      <c r="D164" s="390" t="s">
        <v>553</v>
      </c>
      <c r="E164" s="75" t="s">
        <v>580</v>
      </c>
      <c r="F164" s="391" t="s">
        <v>692</v>
      </c>
      <c r="G164" s="393" t="s">
        <v>322</v>
      </c>
      <c r="H164" s="1">
        <v>0</v>
      </c>
      <c r="L164" s="28"/>
    </row>
    <row r="165" spans="1:12" ht="24" x14ac:dyDescent="0.3">
      <c r="A165" s="353" t="s">
        <v>192</v>
      </c>
      <c r="B165" s="390" t="s">
        <v>234</v>
      </c>
      <c r="C165" s="391" t="s">
        <v>49</v>
      </c>
      <c r="D165" s="390" t="s">
        <v>553</v>
      </c>
      <c r="E165" s="391" t="s">
        <v>693</v>
      </c>
      <c r="F165" s="391" t="s">
        <v>694</v>
      </c>
      <c r="G165" s="393" t="s">
        <v>323</v>
      </c>
      <c r="H165" s="1">
        <v>0</v>
      </c>
      <c r="L165" s="28"/>
    </row>
    <row r="166" spans="1:12" ht="24" x14ac:dyDescent="0.3">
      <c r="A166" s="353" t="s">
        <v>192</v>
      </c>
      <c r="B166" s="390" t="s">
        <v>234</v>
      </c>
      <c r="C166" s="391" t="s">
        <v>49</v>
      </c>
      <c r="D166" s="390" t="s">
        <v>553</v>
      </c>
      <c r="E166" s="391" t="s">
        <v>695</v>
      </c>
      <c r="F166" s="75" t="s">
        <v>696</v>
      </c>
      <c r="G166" s="393" t="s">
        <v>324</v>
      </c>
      <c r="H166" s="1">
        <v>0</v>
      </c>
      <c r="L166" s="28"/>
    </row>
    <row r="167" spans="1:12" ht="24" x14ac:dyDescent="0.3">
      <c r="A167" s="353" t="s">
        <v>192</v>
      </c>
      <c r="B167" s="390" t="s">
        <v>234</v>
      </c>
      <c r="C167" s="391" t="s">
        <v>49</v>
      </c>
      <c r="D167" s="390" t="s">
        <v>553</v>
      </c>
      <c r="E167" s="391" t="s">
        <v>697</v>
      </c>
      <c r="F167" s="75" t="s">
        <v>698</v>
      </c>
      <c r="G167" s="393" t="s">
        <v>325</v>
      </c>
      <c r="H167" s="1">
        <v>0</v>
      </c>
      <c r="L167" s="28"/>
    </row>
    <row r="168" spans="1:12" ht="24" x14ac:dyDescent="0.3">
      <c r="A168" s="353" t="s">
        <v>192</v>
      </c>
      <c r="B168" s="390" t="s">
        <v>234</v>
      </c>
      <c r="C168" s="391" t="s">
        <v>49</v>
      </c>
      <c r="D168" s="390" t="s">
        <v>553</v>
      </c>
      <c r="E168" s="391" t="s">
        <v>699</v>
      </c>
      <c r="F168" s="75" t="s">
        <v>700</v>
      </c>
      <c r="G168" s="393" t="s">
        <v>326</v>
      </c>
      <c r="H168" s="1">
        <v>0</v>
      </c>
      <c r="L168" s="28"/>
    </row>
    <row r="169" spans="1:12" ht="24" x14ac:dyDescent="0.3">
      <c r="A169" s="353" t="s">
        <v>192</v>
      </c>
      <c r="B169" s="390" t="s">
        <v>234</v>
      </c>
      <c r="C169" s="391" t="s">
        <v>49</v>
      </c>
      <c r="D169" s="390" t="s">
        <v>553</v>
      </c>
      <c r="E169" s="391" t="s">
        <v>701</v>
      </c>
      <c r="F169" s="75" t="s">
        <v>796</v>
      </c>
      <c r="G169" s="393" t="s">
        <v>327</v>
      </c>
      <c r="H169" s="1">
        <v>0</v>
      </c>
      <c r="L169" s="28"/>
    </row>
    <row r="170" spans="1:12" ht="24" x14ac:dyDescent="0.3">
      <c r="A170" s="353" t="s">
        <v>192</v>
      </c>
      <c r="B170" s="390" t="s">
        <v>234</v>
      </c>
      <c r="C170" s="391" t="s">
        <v>49</v>
      </c>
      <c r="D170" s="390" t="s">
        <v>553</v>
      </c>
      <c r="E170" s="391" t="s">
        <v>733</v>
      </c>
      <c r="F170" s="75" t="s">
        <v>734</v>
      </c>
      <c r="G170" s="393" t="s">
        <v>236</v>
      </c>
      <c r="H170" s="1">
        <v>0</v>
      </c>
      <c r="L170" s="28"/>
    </row>
    <row r="171" spans="1:12" ht="24" x14ac:dyDescent="0.3">
      <c r="A171" s="353" t="s">
        <v>192</v>
      </c>
      <c r="B171" s="390" t="s">
        <v>234</v>
      </c>
      <c r="C171" s="391" t="s">
        <v>49</v>
      </c>
      <c r="D171" s="390" t="s">
        <v>553</v>
      </c>
      <c r="E171" s="391" t="s">
        <v>703</v>
      </c>
      <c r="F171" s="75" t="s">
        <v>704</v>
      </c>
      <c r="G171" s="393" t="s">
        <v>328</v>
      </c>
      <c r="H171" s="1">
        <v>0</v>
      </c>
      <c r="L171" s="28"/>
    </row>
    <row r="172" spans="1:12" ht="24" x14ac:dyDescent="0.3">
      <c r="A172" s="353" t="s">
        <v>192</v>
      </c>
      <c r="B172" s="390" t="s">
        <v>234</v>
      </c>
      <c r="C172" s="391" t="s">
        <v>49</v>
      </c>
      <c r="D172" s="390" t="s">
        <v>553</v>
      </c>
      <c r="E172" s="391" t="s">
        <v>731</v>
      </c>
      <c r="F172" s="75" t="s">
        <v>732</v>
      </c>
      <c r="G172" s="393" t="s">
        <v>241</v>
      </c>
      <c r="H172" s="1">
        <v>0</v>
      </c>
      <c r="L172" s="28"/>
    </row>
    <row r="173" spans="1:12" ht="24" x14ac:dyDescent="0.3">
      <c r="A173" s="353" t="s">
        <v>192</v>
      </c>
      <c r="B173" s="390" t="s">
        <v>234</v>
      </c>
      <c r="C173" s="391" t="s">
        <v>49</v>
      </c>
      <c r="D173" s="390" t="s">
        <v>553</v>
      </c>
      <c r="E173" s="75" t="s">
        <v>705</v>
      </c>
      <c r="F173" s="75" t="s">
        <v>706</v>
      </c>
      <c r="G173" s="393" t="s">
        <v>329</v>
      </c>
      <c r="H173" s="1">
        <v>0</v>
      </c>
      <c r="L173" s="28"/>
    </row>
    <row r="174" spans="1:12" ht="24" x14ac:dyDescent="0.3">
      <c r="A174" s="353" t="s">
        <v>192</v>
      </c>
      <c r="B174" s="390" t="s">
        <v>234</v>
      </c>
      <c r="C174" s="391" t="s">
        <v>49</v>
      </c>
      <c r="D174" s="390" t="s">
        <v>553</v>
      </c>
      <c r="E174" s="391" t="s">
        <v>581</v>
      </c>
      <c r="F174" s="75" t="s">
        <v>582</v>
      </c>
      <c r="G174" s="393" t="s">
        <v>242</v>
      </c>
      <c r="H174" s="1">
        <v>0</v>
      </c>
      <c r="L174" s="28"/>
    </row>
    <row r="175" spans="1:12" ht="24" x14ac:dyDescent="0.3">
      <c r="A175" s="353" t="s">
        <v>192</v>
      </c>
      <c r="B175" s="390" t="s">
        <v>234</v>
      </c>
      <c r="C175" s="391" t="s">
        <v>49</v>
      </c>
      <c r="D175" s="390" t="s">
        <v>553</v>
      </c>
      <c r="E175" s="75" t="s">
        <v>586</v>
      </c>
      <c r="F175" s="391" t="s">
        <v>585</v>
      </c>
      <c r="G175" s="393" t="s">
        <v>330</v>
      </c>
      <c r="H175" s="1">
        <v>0</v>
      </c>
      <c r="L175" s="28"/>
    </row>
    <row r="176" spans="1:12" ht="24" x14ac:dyDescent="0.3">
      <c r="A176" s="353" t="s">
        <v>192</v>
      </c>
      <c r="B176" s="390" t="s">
        <v>234</v>
      </c>
      <c r="C176" s="391" t="s">
        <v>49</v>
      </c>
      <c r="D176" s="390" t="s">
        <v>553</v>
      </c>
      <c r="E176" s="75" t="s">
        <v>984</v>
      </c>
      <c r="F176" s="391" t="s">
        <v>985</v>
      </c>
      <c r="G176" s="393" t="s">
        <v>986</v>
      </c>
      <c r="H176" s="1">
        <v>0</v>
      </c>
      <c r="L176" s="28"/>
    </row>
    <row r="177" spans="1:22" ht="24" x14ac:dyDescent="0.3">
      <c r="A177" s="353" t="s">
        <v>192</v>
      </c>
      <c r="B177" s="390" t="s">
        <v>234</v>
      </c>
      <c r="C177" s="391" t="s">
        <v>49</v>
      </c>
      <c r="D177" s="390" t="s">
        <v>553</v>
      </c>
      <c r="E177" s="75" t="s">
        <v>984</v>
      </c>
      <c r="F177" s="391" t="s">
        <v>987</v>
      </c>
      <c r="G177" s="393" t="s">
        <v>991</v>
      </c>
      <c r="H177" s="1">
        <v>0</v>
      </c>
      <c r="L177" s="28"/>
    </row>
    <row r="178" spans="1:22" ht="24" x14ac:dyDescent="0.3">
      <c r="A178" s="353" t="s">
        <v>192</v>
      </c>
      <c r="B178" s="390" t="s">
        <v>234</v>
      </c>
      <c r="C178" s="391" t="s">
        <v>49</v>
      </c>
      <c r="D178" s="390" t="s">
        <v>553</v>
      </c>
      <c r="E178" s="75" t="s">
        <v>984</v>
      </c>
      <c r="F178" s="391" t="s">
        <v>989</v>
      </c>
      <c r="G178" s="393" t="s">
        <v>988</v>
      </c>
      <c r="H178" s="1">
        <v>0</v>
      </c>
      <c r="L178" s="28"/>
    </row>
    <row r="179" spans="1:22" ht="24" x14ac:dyDescent="0.3">
      <c r="A179" s="353" t="s">
        <v>192</v>
      </c>
      <c r="B179" s="390" t="s">
        <v>234</v>
      </c>
      <c r="C179" s="391" t="s">
        <v>49</v>
      </c>
      <c r="D179" s="390" t="s">
        <v>553</v>
      </c>
      <c r="E179" s="75" t="s">
        <v>984</v>
      </c>
      <c r="F179" s="391" t="s">
        <v>992</v>
      </c>
      <c r="G179" s="393" t="s">
        <v>990</v>
      </c>
      <c r="H179" s="1">
        <v>0</v>
      </c>
      <c r="L179" s="28"/>
    </row>
    <row r="180" spans="1:22" ht="24" x14ac:dyDescent="0.3">
      <c r="A180" s="353" t="s">
        <v>192</v>
      </c>
      <c r="B180" s="390" t="s">
        <v>234</v>
      </c>
      <c r="C180" s="391" t="s">
        <v>49</v>
      </c>
      <c r="D180" s="390" t="s">
        <v>553</v>
      </c>
      <c r="E180" s="391" t="s">
        <v>707</v>
      </c>
      <c r="F180" s="75" t="s">
        <v>708</v>
      </c>
      <c r="G180" s="393" t="s">
        <v>315</v>
      </c>
      <c r="H180" s="1">
        <v>0</v>
      </c>
      <c r="L180" s="28"/>
    </row>
    <row r="181" spans="1:22" ht="24" x14ac:dyDescent="0.3">
      <c r="A181" s="353" t="s">
        <v>192</v>
      </c>
      <c r="B181" s="390" t="s">
        <v>234</v>
      </c>
      <c r="C181" s="391" t="s">
        <v>49</v>
      </c>
      <c r="D181" s="390" t="s">
        <v>553</v>
      </c>
      <c r="E181" s="391" t="s">
        <v>727</v>
      </c>
      <c r="F181" s="75" t="s">
        <v>728</v>
      </c>
      <c r="G181" s="393" t="s">
        <v>237</v>
      </c>
      <c r="H181" s="1">
        <v>0</v>
      </c>
      <c r="L181" s="28"/>
    </row>
    <row r="182" spans="1:22" ht="24" x14ac:dyDescent="0.3">
      <c r="A182" s="353" t="s">
        <v>192</v>
      </c>
      <c r="B182" s="390" t="s">
        <v>234</v>
      </c>
      <c r="C182" s="391" t="s">
        <v>49</v>
      </c>
      <c r="D182" s="390" t="s">
        <v>553</v>
      </c>
      <c r="E182" s="391" t="s">
        <v>729</v>
      </c>
      <c r="F182" s="75" t="s">
        <v>730</v>
      </c>
      <c r="G182" s="393" t="s">
        <v>238</v>
      </c>
      <c r="H182" s="1">
        <v>0</v>
      </c>
      <c r="L182" s="28"/>
    </row>
    <row r="183" spans="1:22" ht="24" x14ac:dyDescent="0.3">
      <c r="A183" s="353" t="s">
        <v>192</v>
      </c>
      <c r="B183" s="388" t="s">
        <v>234</v>
      </c>
      <c r="C183" s="391" t="s">
        <v>49</v>
      </c>
      <c r="D183" s="390" t="s">
        <v>553</v>
      </c>
      <c r="E183" s="391" t="s">
        <v>536</v>
      </c>
      <c r="F183" s="394" t="s">
        <v>537</v>
      </c>
      <c r="G183" s="393" t="s">
        <v>316</v>
      </c>
      <c r="H183" s="1">
        <v>0</v>
      </c>
      <c r="L183" s="28"/>
    </row>
    <row r="184" spans="1:22" ht="24" x14ac:dyDescent="0.3">
      <c r="A184" s="353" t="s">
        <v>192</v>
      </c>
      <c r="B184" s="388" t="s">
        <v>234</v>
      </c>
      <c r="C184" s="391" t="s">
        <v>49</v>
      </c>
      <c r="D184" s="390" t="s">
        <v>553</v>
      </c>
      <c r="E184" s="391" t="s">
        <v>538</v>
      </c>
      <c r="F184" s="394" t="s">
        <v>539</v>
      </c>
      <c r="G184" s="393" t="s">
        <v>317</v>
      </c>
      <c r="H184" s="1">
        <v>0</v>
      </c>
      <c r="L184" s="28"/>
    </row>
    <row r="185" spans="1:22" ht="24" x14ac:dyDescent="0.3">
      <c r="A185" s="353" t="s">
        <v>192</v>
      </c>
      <c r="B185" s="388" t="s">
        <v>234</v>
      </c>
      <c r="C185" s="391" t="s">
        <v>49</v>
      </c>
      <c r="D185" s="390" t="s">
        <v>553</v>
      </c>
      <c r="E185" s="391" t="s">
        <v>540</v>
      </c>
      <c r="F185" s="394" t="s">
        <v>541</v>
      </c>
      <c r="G185" s="393" t="s">
        <v>318</v>
      </c>
      <c r="H185" s="1">
        <v>0</v>
      </c>
      <c r="L185" s="28"/>
    </row>
    <row r="186" spans="1:22" x14ac:dyDescent="0.3">
      <c r="A186" s="353" t="s">
        <v>192</v>
      </c>
      <c r="B186" s="390" t="s">
        <v>234</v>
      </c>
      <c r="C186" s="391" t="s">
        <v>7</v>
      </c>
      <c r="D186" s="390" t="s">
        <v>553</v>
      </c>
      <c r="E186" s="391" t="s">
        <v>583</v>
      </c>
      <c r="F186" s="75" t="s">
        <v>584</v>
      </c>
      <c r="G186" s="393" t="s">
        <v>243</v>
      </c>
      <c r="H186" s="1">
        <v>0</v>
      </c>
      <c r="L186" s="28"/>
    </row>
    <row r="187" spans="1:22" x14ac:dyDescent="0.3">
      <c r="A187" s="353" t="s">
        <v>192</v>
      </c>
      <c r="B187" s="390" t="s">
        <v>234</v>
      </c>
      <c r="C187" s="391" t="s">
        <v>7</v>
      </c>
      <c r="D187" s="390" t="s">
        <v>553</v>
      </c>
      <c r="E187" s="391" t="s">
        <v>862</v>
      </c>
      <c r="F187" s="391" t="s">
        <v>245</v>
      </c>
      <c r="G187" s="393" t="s">
        <v>244</v>
      </c>
      <c r="H187" s="1">
        <v>0</v>
      </c>
      <c r="L187" s="28"/>
    </row>
    <row r="188" spans="1:22" x14ac:dyDescent="0.3">
      <c r="A188" s="353" t="s">
        <v>192</v>
      </c>
      <c r="B188" s="390" t="s">
        <v>234</v>
      </c>
      <c r="C188" s="391" t="s">
        <v>7</v>
      </c>
      <c r="D188" s="390" t="s">
        <v>553</v>
      </c>
      <c r="E188" s="391" t="s">
        <v>863</v>
      </c>
      <c r="F188" s="391" t="s">
        <v>411</v>
      </c>
      <c r="G188" s="393" t="s">
        <v>246</v>
      </c>
      <c r="H188" s="1">
        <v>0</v>
      </c>
      <c r="L188" s="28"/>
    </row>
    <row r="189" spans="1:22" x14ac:dyDescent="0.3">
      <c r="A189" s="353" t="s">
        <v>192</v>
      </c>
      <c r="B189" s="390" t="s">
        <v>234</v>
      </c>
      <c r="C189" s="391" t="s">
        <v>7</v>
      </c>
      <c r="D189" s="390" t="s">
        <v>553</v>
      </c>
      <c r="E189" s="391" t="s">
        <v>797</v>
      </c>
      <c r="F189" s="391" t="s">
        <v>332</v>
      </c>
      <c r="G189" s="393" t="s">
        <v>331</v>
      </c>
      <c r="H189" s="390">
        <v>0</v>
      </c>
      <c r="L189" s="28"/>
    </row>
    <row r="190" spans="1:22" s="74" customFormat="1" x14ac:dyDescent="0.3">
      <c r="A190" s="74" t="s">
        <v>192</v>
      </c>
      <c r="B190" s="390" t="s">
        <v>658</v>
      </c>
      <c r="C190" s="391" t="s">
        <v>68</v>
      </c>
      <c r="D190" s="390" t="s">
        <v>553</v>
      </c>
      <c r="E190" s="391" t="s">
        <v>1522</v>
      </c>
      <c r="F190" s="75" t="s">
        <v>798</v>
      </c>
      <c r="G190" s="508" t="s">
        <v>278</v>
      </c>
      <c r="H190" s="1">
        <v>1</v>
      </c>
      <c r="I190" s="74">
        <v>1</v>
      </c>
      <c r="J190" s="74">
        <v>1</v>
      </c>
      <c r="K190" s="420">
        <v>1</v>
      </c>
      <c r="L190" s="420">
        <v>1</v>
      </c>
      <c r="M190" s="74">
        <v>1</v>
      </c>
      <c r="N190" s="74">
        <v>1</v>
      </c>
      <c r="O190" s="74">
        <v>1</v>
      </c>
      <c r="P190" s="74">
        <v>1</v>
      </c>
      <c r="Q190" s="74">
        <v>1</v>
      </c>
      <c r="R190" s="74">
        <v>1</v>
      </c>
      <c r="S190" s="74">
        <v>1</v>
      </c>
      <c r="T190" s="74">
        <v>1</v>
      </c>
      <c r="U190" s="74">
        <v>1</v>
      </c>
      <c r="V190" s="74">
        <v>1</v>
      </c>
    </row>
    <row r="191" spans="1:22" x14ac:dyDescent="0.3">
      <c r="A191" s="353" t="s">
        <v>192</v>
      </c>
      <c r="B191" s="390" t="s">
        <v>658</v>
      </c>
      <c r="C191" s="391" t="s">
        <v>68</v>
      </c>
      <c r="D191" s="390" t="s">
        <v>553</v>
      </c>
      <c r="E191" s="391" t="s">
        <v>1523</v>
      </c>
      <c r="F191" s="391" t="s">
        <v>281</v>
      </c>
      <c r="G191" s="393" t="s">
        <v>280</v>
      </c>
      <c r="H191" s="1">
        <v>3</v>
      </c>
      <c r="V191" s="28">
        <v>3</v>
      </c>
    </row>
    <row r="192" spans="1:22" ht="24" x14ac:dyDescent="0.3">
      <c r="A192" s="353" t="s">
        <v>192</v>
      </c>
      <c r="B192" s="388" t="s">
        <v>234</v>
      </c>
      <c r="C192" s="391" t="s">
        <v>542</v>
      </c>
      <c r="D192" s="390" t="s">
        <v>553</v>
      </c>
      <c r="E192" s="391" t="s">
        <v>543</v>
      </c>
      <c r="F192" s="394" t="s">
        <v>542</v>
      </c>
      <c r="G192" s="393" t="s">
        <v>333</v>
      </c>
      <c r="H192" s="1">
        <v>0</v>
      </c>
      <c r="L192" s="28"/>
    </row>
    <row r="193" spans="1:12" ht="24" x14ac:dyDescent="0.3">
      <c r="A193" s="353" t="s">
        <v>192</v>
      </c>
      <c r="B193" s="388" t="s">
        <v>234</v>
      </c>
      <c r="C193" s="391" t="s">
        <v>542</v>
      </c>
      <c r="D193" s="390" t="s">
        <v>553</v>
      </c>
      <c r="E193" s="391" t="s">
        <v>544</v>
      </c>
      <c r="F193" s="391" t="s">
        <v>542</v>
      </c>
      <c r="G193" s="393" t="s">
        <v>334</v>
      </c>
      <c r="H193" s="1">
        <v>0</v>
      </c>
      <c r="L193" s="28"/>
    </row>
    <row r="194" spans="1:12" ht="24" x14ac:dyDescent="0.3">
      <c r="A194" s="353" t="s">
        <v>192</v>
      </c>
      <c r="B194" s="388" t="s">
        <v>234</v>
      </c>
      <c r="C194" s="391" t="s">
        <v>542</v>
      </c>
      <c r="D194" s="390" t="s">
        <v>553</v>
      </c>
      <c r="E194" s="391" t="s">
        <v>1484</v>
      </c>
      <c r="F194" s="391" t="s">
        <v>542</v>
      </c>
      <c r="G194" s="393" t="s">
        <v>1483</v>
      </c>
      <c r="H194" s="1">
        <v>0</v>
      </c>
      <c r="L194" s="28"/>
    </row>
    <row r="195" spans="1:12" x14ac:dyDescent="0.3">
      <c r="A195" s="353" t="s">
        <v>192</v>
      </c>
      <c r="B195" s="390" t="s">
        <v>234</v>
      </c>
      <c r="C195" s="391" t="s">
        <v>70</v>
      </c>
      <c r="D195" s="390" t="s">
        <v>553</v>
      </c>
      <c r="E195" s="391" t="s">
        <v>709</v>
      </c>
      <c r="F195" s="75" t="s">
        <v>710</v>
      </c>
      <c r="G195" s="393" t="s">
        <v>335</v>
      </c>
      <c r="H195" s="1">
        <v>0</v>
      </c>
      <c r="L195" s="28"/>
    </row>
    <row r="196" spans="1:12" x14ac:dyDescent="0.3">
      <c r="A196" s="353" t="s">
        <v>192</v>
      </c>
      <c r="B196" s="390" t="s">
        <v>234</v>
      </c>
      <c r="C196" s="391" t="s">
        <v>70</v>
      </c>
      <c r="D196" s="390" t="s">
        <v>553</v>
      </c>
      <c r="E196" s="391" t="s">
        <v>711</v>
      </c>
      <c r="F196" s="75" t="s">
        <v>712</v>
      </c>
      <c r="G196" s="393" t="s">
        <v>336</v>
      </c>
      <c r="H196" s="1">
        <v>0</v>
      </c>
      <c r="L196" s="28"/>
    </row>
    <row r="197" spans="1:12" x14ac:dyDescent="0.3">
      <c r="A197" s="353" t="s">
        <v>192</v>
      </c>
      <c r="B197" s="390" t="s">
        <v>234</v>
      </c>
      <c r="C197" s="391" t="s">
        <v>70</v>
      </c>
      <c r="D197" s="390" t="s">
        <v>553</v>
      </c>
      <c r="E197" s="391" t="s">
        <v>724</v>
      </c>
      <c r="F197" s="75" t="s">
        <v>572</v>
      </c>
      <c r="G197" s="393" t="s">
        <v>723</v>
      </c>
      <c r="H197" s="1">
        <v>0</v>
      </c>
      <c r="L197" s="28"/>
    </row>
    <row r="198" spans="1:12" x14ac:dyDescent="0.3">
      <c r="A198" s="353" t="s">
        <v>192</v>
      </c>
      <c r="B198" s="390" t="s">
        <v>234</v>
      </c>
      <c r="C198" s="391" t="s">
        <v>100</v>
      </c>
      <c r="D198" s="390" t="s">
        <v>553</v>
      </c>
      <c r="E198" s="391" t="s">
        <v>790</v>
      </c>
      <c r="F198" s="391" t="s">
        <v>283</v>
      </c>
      <c r="G198" s="393" t="s">
        <v>282</v>
      </c>
      <c r="H198" s="1">
        <v>0</v>
      </c>
      <c r="L198" s="28"/>
    </row>
    <row r="199" spans="1:12" x14ac:dyDescent="0.3">
      <c r="A199" s="353" t="s">
        <v>192</v>
      </c>
      <c r="B199" s="390" t="s">
        <v>234</v>
      </c>
      <c r="C199" s="391" t="s">
        <v>100</v>
      </c>
      <c r="D199" s="390" t="s">
        <v>553</v>
      </c>
      <c r="E199" s="391" t="s">
        <v>790</v>
      </c>
      <c r="F199" s="391" t="s">
        <v>285</v>
      </c>
      <c r="G199" s="393" t="s">
        <v>284</v>
      </c>
      <c r="H199" s="1">
        <v>0</v>
      </c>
      <c r="L199" s="28"/>
    </row>
    <row r="200" spans="1:12" x14ac:dyDescent="0.3">
      <c r="A200" s="353" t="s">
        <v>192</v>
      </c>
      <c r="B200" s="390" t="s">
        <v>234</v>
      </c>
      <c r="C200" s="391" t="s">
        <v>100</v>
      </c>
      <c r="D200" s="390" t="s">
        <v>553</v>
      </c>
      <c r="E200" s="391" t="s">
        <v>790</v>
      </c>
      <c r="F200" s="391" t="s">
        <v>285</v>
      </c>
      <c r="G200" s="393" t="s">
        <v>964</v>
      </c>
      <c r="H200" s="1">
        <v>0</v>
      </c>
      <c r="L200" s="28"/>
    </row>
    <row r="201" spans="1:12" x14ac:dyDescent="0.3">
      <c r="A201" s="353" t="s">
        <v>192</v>
      </c>
      <c r="B201" s="390" t="s">
        <v>234</v>
      </c>
      <c r="C201" s="391" t="s">
        <v>129</v>
      </c>
      <c r="D201" s="390" t="s">
        <v>553</v>
      </c>
      <c r="E201" s="391" t="s">
        <v>799</v>
      </c>
      <c r="F201" s="391" t="s">
        <v>193</v>
      </c>
      <c r="G201" s="393" t="s">
        <v>337</v>
      </c>
      <c r="H201" s="1">
        <v>0</v>
      </c>
      <c r="L201" s="28"/>
    </row>
    <row r="202" spans="1:12" ht="24" x14ac:dyDescent="0.3">
      <c r="A202" s="353" t="s">
        <v>192</v>
      </c>
      <c r="B202" s="390" t="s">
        <v>234</v>
      </c>
      <c r="C202" s="391" t="s">
        <v>248</v>
      </c>
      <c r="D202" s="390" t="s">
        <v>553</v>
      </c>
      <c r="E202" s="391" t="s">
        <v>864</v>
      </c>
      <c r="F202" s="391" t="s">
        <v>408</v>
      </c>
      <c r="G202" s="393" t="s">
        <v>247</v>
      </c>
      <c r="H202" s="1">
        <v>0</v>
      </c>
      <c r="L202" s="28"/>
    </row>
    <row r="203" spans="1:12" ht="24" x14ac:dyDescent="0.3">
      <c r="A203" s="353" t="s">
        <v>192</v>
      </c>
      <c r="B203" s="390" t="s">
        <v>234</v>
      </c>
      <c r="C203" s="391" t="s">
        <v>248</v>
      </c>
      <c r="D203" s="390" t="s">
        <v>553</v>
      </c>
      <c r="E203" s="391" t="s">
        <v>865</v>
      </c>
      <c r="F203" s="391" t="s">
        <v>259</v>
      </c>
      <c r="G203" s="393" t="s">
        <v>258</v>
      </c>
      <c r="H203" s="1">
        <v>0</v>
      </c>
      <c r="L203" s="28"/>
    </row>
    <row r="204" spans="1:12" ht="24" x14ac:dyDescent="0.3">
      <c r="A204" s="353" t="s">
        <v>192</v>
      </c>
      <c r="B204" s="390" t="s">
        <v>234</v>
      </c>
      <c r="C204" s="391" t="s">
        <v>248</v>
      </c>
      <c r="D204" s="390" t="s">
        <v>553</v>
      </c>
      <c r="E204" s="391" t="s">
        <v>866</v>
      </c>
      <c r="F204" s="391" t="s">
        <v>261</v>
      </c>
      <c r="G204" s="393" t="s">
        <v>260</v>
      </c>
      <c r="H204" s="1">
        <v>0</v>
      </c>
      <c r="L204" s="28"/>
    </row>
    <row r="205" spans="1:12" ht="24" x14ac:dyDescent="0.3">
      <c r="A205" s="353" t="s">
        <v>192</v>
      </c>
      <c r="B205" s="390" t="s">
        <v>234</v>
      </c>
      <c r="C205" s="391" t="s">
        <v>248</v>
      </c>
      <c r="D205" s="390" t="s">
        <v>553</v>
      </c>
      <c r="E205" s="391" t="s">
        <v>867</v>
      </c>
      <c r="F205" s="391" t="s">
        <v>263</v>
      </c>
      <c r="G205" s="393" t="s">
        <v>262</v>
      </c>
      <c r="H205" s="1">
        <v>0</v>
      </c>
      <c r="L205" s="28"/>
    </row>
    <row r="206" spans="1:12" ht="24" x14ac:dyDescent="0.3">
      <c r="A206" s="353" t="s">
        <v>192</v>
      </c>
      <c r="B206" s="390" t="s">
        <v>234</v>
      </c>
      <c r="C206" s="391" t="s">
        <v>248</v>
      </c>
      <c r="D206" s="390" t="s">
        <v>553</v>
      </c>
      <c r="E206" s="391" t="s">
        <v>864</v>
      </c>
      <c r="F206" s="391" t="s">
        <v>414</v>
      </c>
      <c r="G206" s="393" t="s">
        <v>264</v>
      </c>
      <c r="H206" s="1">
        <v>0</v>
      </c>
      <c r="L206" s="28"/>
    </row>
    <row r="207" spans="1:12" ht="24" x14ac:dyDescent="0.3">
      <c r="A207" s="353" t="s">
        <v>192</v>
      </c>
      <c r="B207" s="390" t="s">
        <v>234</v>
      </c>
      <c r="C207" s="391" t="s">
        <v>248</v>
      </c>
      <c r="D207" s="390" t="s">
        <v>553</v>
      </c>
      <c r="E207" s="391" t="s">
        <v>868</v>
      </c>
      <c r="F207" s="391" t="s">
        <v>415</v>
      </c>
      <c r="G207" s="393" t="s">
        <v>265</v>
      </c>
      <c r="H207" s="1">
        <v>0</v>
      </c>
      <c r="L207" s="28"/>
    </row>
    <row r="208" spans="1:12" ht="24" x14ac:dyDescent="0.3">
      <c r="A208" s="353" t="s">
        <v>192</v>
      </c>
      <c r="B208" s="390" t="s">
        <v>234</v>
      </c>
      <c r="C208" s="391" t="s">
        <v>248</v>
      </c>
      <c r="D208" s="390" t="s">
        <v>553</v>
      </c>
      <c r="E208" s="391" t="s">
        <v>625</v>
      </c>
      <c r="F208" s="75" t="s">
        <v>626</v>
      </c>
      <c r="G208" s="393" t="s">
        <v>266</v>
      </c>
      <c r="H208" s="1">
        <v>0</v>
      </c>
      <c r="L208" s="28"/>
    </row>
    <row r="209" spans="1:12" ht="24" x14ac:dyDescent="0.3">
      <c r="A209" s="353" t="s">
        <v>192</v>
      </c>
      <c r="B209" s="390" t="s">
        <v>234</v>
      </c>
      <c r="C209" s="391" t="s">
        <v>248</v>
      </c>
      <c r="D209" s="390" t="s">
        <v>553</v>
      </c>
      <c r="E209" s="391" t="s">
        <v>627</v>
      </c>
      <c r="F209" s="75" t="s">
        <v>628</v>
      </c>
      <c r="G209" s="393" t="s">
        <v>267</v>
      </c>
      <c r="H209" s="1">
        <v>0</v>
      </c>
      <c r="L209" s="28"/>
    </row>
    <row r="210" spans="1:12" ht="24" x14ac:dyDescent="0.3">
      <c r="A210" s="353" t="s">
        <v>192</v>
      </c>
      <c r="B210" s="390" t="s">
        <v>234</v>
      </c>
      <c r="C210" s="391" t="s">
        <v>248</v>
      </c>
      <c r="D210" s="390" t="s">
        <v>553</v>
      </c>
      <c r="E210" s="391" t="s">
        <v>869</v>
      </c>
      <c r="F210" s="391" t="s">
        <v>269</v>
      </c>
      <c r="G210" s="393" t="s">
        <v>268</v>
      </c>
      <c r="H210" s="1">
        <v>0</v>
      </c>
      <c r="L210" s="28"/>
    </row>
    <row r="211" spans="1:12" ht="24" x14ac:dyDescent="0.3">
      <c r="A211" s="353" t="s">
        <v>192</v>
      </c>
      <c r="B211" s="390" t="s">
        <v>234</v>
      </c>
      <c r="C211" s="391" t="s">
        <v>248</v>
      </c>
      <c r="D211" s="390" t="s">
        <v>553</v>
      </c>
      <c r="E211" s="391" t="s">
        <v>870</v>
      </c>
      <c r="F211" s="391" t="s">
        <v>410</v>
      </c>
      <c r="G211" s="393" t="s">
        <v>249</v>
      </c>
      <c r="H211" s="1">
        <v>0</v>
      </c>
      <c r="L211" s="28"/>
    </row>
    <row r="212" spans="1:12" ht="24" x14ac:dyDescent="0.3">
      <c r="A212" s="353" t="s">
        <v>192</v>
      </c>
      <c r="B212" s="390" t="s">
        <v>234</v>
      </c>
      <c r="C212" s="391" t="s">
        <v>248</v>
      </c>
      <c r="D212" s="390" t="s">
        <v>553</v>
      </c>
      <c r="E212" s="391" t="s">
        <v>871</v>
      </c>
      <c r="F212" s="391" t="s">
        <v>409</v>
      </c>
      <c r="G212" s="393" t="s">
        <v>250</v>
      </c>
      <c r="H212" s="1">
        <v>0</v>
      </c>
      <c r="L212" s="28"/>
    </row>
    <row r="213" spans="1:12" ht="24" x14ac:dyDescent="0.3">
      <c r="A213" s="353" t="s">
        <v>192</v>
      </c>
      <c r="B213" s="390" t="s">
        <v>234</v>
      </c>
      <c r="C213" s="391" t="s">
        <v>248</v>
      </c>
      <c r="D213" s="390" t="s">
        <v>553</v>
      </c>
      <c r="E213" s="391" t="s">
        <v>872</v>
      </c>
      <c r="F213" s="391" t="s">
        <v>252</v>
      </c>
      <c r="G213" s="393" t="s">
        <v>251</v>
      </c>
      <c r="H213" s="1">
        <v>0</v>
      </c>
      <c r="L213" s="28"/>
    </row>
    <row r="214" spans="1:12" ht="24" x14ac:dyDescent="0.3">
      <c r="A214" s="353" t="s">
        <v>192</v>
      </c>
      <c r="B214" s="390" t="s">
        <v>234</v>
      </c>
      <c r="C214" s="391" t="s">
        <v>248</v>
      </c>
      <c r="D214" s="390" t="s">
        <v>553</v>
      </c>
      <c r="E214" s="391" t="s">
        <v>864</v>
      </c>
      <c r="F214" s="391" t="s">
        <v>408</v>
      </c>
      <c r="G214" s="393" t="s">
        <v>253</v>
      </c>
      <c r="H214" s="1">
        <v>0</v>
      </c>
      <c r="L214" s="28"/>
    </row>
    <row r="215" spans="1:12" ht="24" x14ac:dyDescent="0.3">
      <c r="A215" s="353" t="s">
        <v>192</v>
      </c>
      <c r="B215" s="390" t="s">
        <v>234</v>
      </c>
      <c r="C215" s="391" t="s">
        <v>248</v>
      </c>
      <c r="D215" s="390" t="s">
        <v>553</v>
      </c>
      <c r="E215" s="391" t="s">
        <v>873</v>
      </c>
      <c r="F215" s="391" t="s">
        <v>407</v>
      </c>
      <c r="G215" s="393" t="s">
        <v>254</v>
      </c>
      <c r="H215" s="1">
        <v>0</v>
      </c>
      <c r="L215" s="28"/>
    </row>
    <row r="216" spans="1:12" ht="24" x14ac:dyDescent="0.3">
      <c r="A216" s="353" t="s">
        <v>192</v>
      </c>
      <c r="B216" s="390" t="s">
        <v>234</v>
      </c>
      <c r="C216" s="391" t="s">
        <v>248</v>
      </c>
      <c r="D216" s="390" t="s">
        <v>553</v>
      </c>
      <c r="E216" s="391" t="s">
        <v>864</v>
      </c>
      <c r="F216" s="391" t="s">
        <v>408</v>
      </c>
      <c r="G216" s="393" t="s">
        <v>255</v>
      </c>
      <c r="H216" s="1">
        <v>0</v>
      </c>
      <c r="L216" s="28"/>
    </row>
    <row r="217" spans="1:12" ht="24" x14ac:dyDescent="0.3">
      <c r="A217" s="353" t="s">
        <v>192</v>
      </c>
      <c r="B217" s="390" t="s">
        <v>234</v>
      </c>
      <c r="C217" s="391" t="s">
        <v>248</v>
      </c>
      <c r="D217" s="390" t="s">
        <v>553</v>
      </c>
      <c r="E217" s="391" t="s">
        <v>866</v>
      </c>
      <c r="F217" s="391" t="s">
        <v>412</v>
      </c>
      <c r="G217" s="393" t="s">
        <v>256</v>
      </c>
      <c r="H217" s="1">
        <v>0</v>
      </c>
      <c r="L217" s="28"/>
    </row>
    <row r="218" spans="1:12" ht="24" x14ac:dyDescent="0.3">
      <c r="A218" s="353" t="s">
        <v>192</v>
      </c>
      <c r="B218" s="390" t="s">
        <v>234</v>
      </c>
      <c r="C218" s="391" t="s">
        <v>248</v>
      </c>
      <c r="D218" s="390" t="s">
        <v>553</v>
      </c>
      <c r="E218" s="391" t="s">
        <v>868</v>
      </c>
      <c r="F218" s="391" t="s">
        <v>413</v>
      </c>
      <c r="G218" s="393" t="s">
        <v>257</v>
      </c>
      <c r="H218" s="1">
        <v>0</v>
      </c>
      <c r="L218" s="28"/>
    </row>
    <row r="219" spans="1:12" x14ac:dyDescent="0.3">
      <c r="A219" s="353" t="s">
        <v>192</v>
      </c>
      <c r="B219" s="390" t="s">
        <v>234</v>
      </c>
      <c r="C219" s="391" t="s">
        <v>19</v>
      </c>
      <c r="D219" s="390" t="s">
        <v>553</v>
      </c>
      <c r="E219" s="391" t="s">
        <v>784</v>
      </c>
      <c r="F219" s="391" t="s">
        <v>289</v>
      </c>
      <c r="G219" s="393" t="s">
        <v>288</v>
      </c>
      <c r="H219" s="1">
        <v>0</v>
      </c>
      <c r="L219" s="28"/>
    </row>
    <row r="220" spans="1:12" x14ac:dyDescent="0.3">
      <c r="A220" s="353" t="s">
        <v>192</v>
      </c>
      <c r="B220" s="390" t="s">
        <v>234</v>
      </c>
      <c r="C220" s="391" t="s">
        <v>19</v>
      </c>
      <c r="D220" s="390" t="s">
        <v>553</v>
      </c>
      <c r="E220" s="391" t="s">
        <v>784</v>
      </c>
      <c r="F220" s="391" t="s">
        <v>289</v>
      </c>
      <c r="G220" s="393" t="s">
        <v>290</v>
      </c>
      <c r="H220" s="1">
        <v>0</v>
      </c>
      <c r="L220" s="28"/>
    </row>
    <row r="221" spans="1:12" ht="24" x14ac:dyDescent="0.3">
      <c r="A221" s="353" t="s">
        <v>192</v>
      </c>
      <c r="B221" s="390" t="s">
        <v>234</v>
      </c>
      <c r="C221" s="391" t="s">
        <v>271</v>
      </c>
      <c r="D221" s="390" t="s">
        <v>553</v>
      </c>
      <c r="E221" s="391" t="s">
        <v>785</v>
      </c>
      <c r="F221" s="391" t="s">
        <v>287</v>
      </c>
      <c r="G221" s="393" t="s">
        <v>286</v>
      </c>
      <c r="H221" s="1">
        <v>0</v>
      </c>
      <c r="L221" s="28"/>
    </row>
    <row r="222" spans="1:12" ht="24" x14ac:dyDescent="0.3">
      <c r="A222" s="353" t="s">
        <v>192</v>
      </c>
      <c r="B222" s="390" t="s">
        <v>234</v>
      </c>
      <c r="C222" s="391" t="s">
        <v>271</v>
      </c>
      <c r="D222" s="390" t="s">
        <v>553</v>
      </c>
      <c r="E222" s="391" t="s">
        <v>874</v>
      </c>
      <c r="F222" s="391" t="s">
        <v>272</v>
      </c>
      <c r="G222" s="393" t="s">
        <v>270</v>
      </c>
      <c r="H222" s="1">
        <v>0</v>
      </c>
      <c r="L222" s="28"/>
    </row>
    <row r="223" spans="1:12" ht="24" x14ac:dyDescent="0.3">
      <c r="A223" s="353" t="s">
        <v>192</v>
      </c>
      <c r="B223" s="390" t="s">
        <v>234</v>
      </c>
      <c r="C223" s="391" t="s">
        <v>271</v>
      </c>
      <c r="D223" s="390" t="s">
        <v>553</v>
      </c>
      <c r="E223" s="391" t="s">
        <v>875</v>
      </c>
      <c r="F223" s="391" t="s">
        <v>274</v>
      </c>
      <c r="G223" s="393" t="s">
        <v>273</v>
      </c>
      <c r="H223" s="1">
        <v>0</v>
      </c>
      <c r="L223" s="28"/>
    </row>
    <row r="224" spans="1:12" ht="24" x14ac:dyDescent="0.3">
      <c r="A224" s="353" t="s">
        <v>192</v>
      </c>
      <c r="B224" s="390" t="s">
        <v>234</v>
      </c>
      <c r="C224" s="391" t="s">
        <v>271</v>
      </c>
      <c r="D224" s="390" t="s">
        <v>553</v>
      </c>
      <c r="E224" s="391" t="s">
        <v>876</v>
      </c>
      <c r="F224" s="391" t="s">
        <v>274</v>
      </c>
      <c r="G224" s="393" t="s">
        <v>275</v>
      </c>
      <c r="H224" s="1">
        <v>0</v>
      </c>
      <c r="L224" s="28"/>
    </row>
    <row r="225" spans="1:20" ht="24" x14ac:dyDescent="0.3">
      <c r="A225" s="353" t="s">
        <v>192</v>
      </c>
      <c r="B225" s="390" t="s">
        <v>234</v>
      </c>
      <c r="C225" s="391" t="s">
        <v>271</v>
      </c>
      <c r="D225" s="390" t="s">
        <v>553</v>
      </c>
      <c r="E225" s="391" t="s">
        <v>877</v>
      </c>
      <c r="F225" s="391" t="s">
        <v>277</v>
      </c>
      <c r="G225" s="393" t="s">
        <v>276</v>
      </c>
      <c r="H225" s="1">
        <v>0</v>
      </c>
      <c r="L225" s="28"/>
    </row>
    <row r="226" spans="1:20" x14ac:dyDescent="0.3">
      <c r="A226" s="353" t="s">
        <v>5</v>
      </c>
      <c r="B226" s="388" t="s">
        <v>878</v>
      </c>
      <c r="C226" s="389" t="s">
        <v>26</v>
      </c>
      <c r="D226" s="388" t="s">
        <v>556</v>
      </c>
      <c r="E226" s="389" t="s">
        <v>879</v>
      </c>
      <c r="F226" s="389" t="s">
        <v>164</v>
      </c>
      <c r="G226" s="392" t="s">
        <v>162</v>
      </c>
      <c r="H226" s="388">
        <v>4</v>
      </c>
      <c r="S226" s="28">
        <v>4</v>
      </c>
    </row>
    <row r="227" spans="1:20" x14ac:dyDescent="0.3">
      <c r="A227" s="353" t="s">
        <v>5</v>
      </c>
      <c r="B227" s="388" t="s">
        <v>878</v>
      </c>
      <c r="C227" s="389" t="s">
        <v>26</v>
      </c>
      <c r="D227" s="388" t="s">
        <v>556</v>
      </c>
      <c r="E227" s="389" t="s">
        <v>880</v>
      </c>
      <c r="F227" s="389" t="s">
        <v>166</v>
      </c>
      <c r="G227" s="392" t="s">
        <v>165</v>
      </c>
      <c r="H227" s="388">
        <v>4</v>
      </c>
      <c r="S227" s="28">
        <v>4</v>
      </c>
    </row>
    <row r="228" spans="1:20" s="74" customFormat="1" x14ac:dyDescent="0.3">
      <c r="A228" s="74" t="s">
        <v>5</v>
      </c>
      <c r="B228" s="388" t="s">
        <v>878</v>
      </c>
      <c r="C228" s="389" t="s">
        <v>26</v>
      </c>
      <c r="D228" s="388" t="s">
        <v>556</v>
      </c>
      <c r="E228" s="389" t="s">
        <v>881</v>
      </c>
      <c r="F228" s="389" t="s">
        <v>168</v>
      </c>
      <c r="G228" s="75" t="s">
        <v>167</v>
      </c>
      <c r="H228" s="388">
        <v>4</v>
      </c>
      <c r="J228" s="74">
        <v>4</v>
      </c>
      <c r="O228" s="74">
        <v>4</v>
      </c>
    </row>
    <row r="229" spans="1:20" x14ac:dyDescent="0.3">
      <c r="A229" s="353" t="s">
        <v>5</v>
      </c>
      <c r="B229" s="388" t="s">
        <v>878</v>
      </c>
      <c r="C229" s="389" t="s">
        <v>26</v>
      </c>
      <c r="D229" s="388" t="s">
        <v>556</v>
      </c>
      <c r="E229" s="389" t="s">
        <v>882</v>
      </c>
      <c r="F229" s="389" t="s">
        <v>170</v>
      </c>
      <c r="G229" s="392" t="s">
        <v>169</v>
      </c>
      <c r="H229" s="388">
        <v>4</v>
      </c>
      <c r="O229" s="28">
        <v>4</v>
      </c>
    </row>
    <row r="230" spans="1:20" x14ac:dyDescent="0.3">
      <c r="A230" s="353" t="s">
        <v>5</v>
      </c>
      <c r="B230" s="388" t="s">
        <v>878</v>
      </c>
      <c r="C230" s="389" t="s">
        <v>26</v>
      </c>
      <c r="D230" s="388" t="s">
        <v>556</v>
      </c>
      <c r="E230" s="389" t="s">
        <v>883</v>
      </c>
      <c r="F230" s="389" t="s">
        <v>172</v>
      </c>
      <c r="G230" s="392" t="s">
        <v>171</v>
      </c>
      <c r="H230" s="388">
        <v>4</v>
      </c>
      <c r="Q230" s="28">
        <v>4</v>
      </c>
    </row>
    <row r="231" spans="1:20" x14ac:dyDescent="0.3">
      <c r="A231" s="353" t="s">
        <v>5</v>
      </c>
      <c r="B231" s="388" t="s">
        <v>878</v>
      </c>
      <c r="C231" s="389" t="s">
        <v>174</v>
      </c>
      <c r="D231" s="388" t="s">
        <v>556</v>
      </c>
      <c r="E231" s="389" t="s">
        <v>884</v>
      </c>
      <c r="F231" s="389" t="s">
        <v>20</v>
      </c>
      <c r="G231" s="392" t="s">
        <v>173</v>
      </c>
      <c r="H231" s="388">
        <v>4</v>
      </c>
      <c r="S231" s="28">
        <v>4</v>
      </c>
    </row>
    <row r="232" spans="1:20" x14ac:dyDescent="0.3">
      <c r="A232" s="74" t="s">
        <v>5</v>
      </c>
      <c r="B232" s="388" t="s">
        <v>105</v>
      </c>
      <c r="C232" s="389" t="s">
        <v>26</v>
      </c>
      <c r="D232" s="388" t="s">
        <v>556</v>
      </c>
      <c r="E232" s="389" t="s">
        <v>607</v>
      </c>
      <c r="F232" s="75" t="s">
        <v>927</v>
      </c>
      <c r="G232" s="75" t="s">
        <v>110</v>
      </c>
      <c r="H232" s="388">
        <v>4</v>
      </c>
      <c r="I232" s="74">
        <v>4</v>
      </c>
    </row>
    <row r="233" spans="1:20" x14ac:dyDescent="0.3">
      <c r="A233" s="353" t="s">
        <v>5</v>
      </c>
      <c r="B233" s="388" t="s">
        <v>105</v>
      </c>
      <c r="C233" s="389" t="s">
        <v>26</v>
      </c>
      <c r="D233" s="388" t="s">
        <v>556</v>
      </c>
      <c r="E233" s="389" t="s">
        <v>623</v>
      </c>
      <c r="F233" s="75" t="s">
        <v>929</v>
      </c>
      <c r="G233" s="392" t="s">
        <v>111</v>
      </c>
      <c r="H233" s="388">
        <v>4</v>
      </c>
      <c r="S233" s="28">
        <v>4</v>
      </c>
    </row>
    <row r="234" spans="1:20" x14ac:dyDescent="0.3">
      <c r="A234" s="353" t="s">
        <v>5</v>
      </c>
      <c r="B234" s="388" t="s">
        <v>105</v>
      </c>
      <c r="C234" s="389" t="s">
        <v>26</v>
      </c>
      <c r="D234" s="388" t="s">
        <v>556</v>
      </c>
      <c r="E234" s="389" t="s">
        <v>624</v>
      </c>
      <c r="F234" s="75" t="s">
        <v>930</v>
      </c>
      <c r="G234" s="392" t="s">
        <v>112</v>
      </c>
      <c r="H234" s="388">
        <v>4</v>
      </c>
      <c r="T234" s="28">
        <v>4</v>
      </c>
    </row>
    <row r="235" spans="1:20" x14ac:dyDescent="0.3">
      <c r="A235" s="353" t="s">
        <v>5</v>
      </c>
      <c r="B235" s="388" t="s">
        <v>105</v>
      </c>
      <c r="C235" s="389" t="s">
        <v>26</v>
      </c>
      <c r="D235" s="388" t="s">
        <v>556</v>
      </c>
      <c r="E235" s="389" t="s">
        <v>788</v>
      </c>
      <c r="F235" s="389" t="s">
        <v>931</v>
      </c>
      <c r="G235" s="392" t="s">
        <v>113</v>
      </c>
      <c r="H235" s="388">
        <v>4</v>
      </c>
      <c r="P235" s="28">
        <v>4</v>
      </c>
    </row>
    <row r="236" spans="1:20" x14ac:dyDescent="0.3">
      <c r="A236" s="353" t="s">
        <v>5</v>
      </c>
      <c r="B236" s="388" t="s">
        <v>105</v>
      </c>
      <c r="C236" s="389" t="s">
        <v>26</v>
      </c>
      <c r="D236" s="388" t="s">
        <v>556</v>
      </c>
      <c r="E236" s="389" t="s">
        <v>885</v>
      </c>
      <c r="F236" s="389" t="s">
        <v>932</v>
      </c>
      <c r="G236" s="392" t="s">
        <v>114</v>
      </c>
      <c r="H236" s="388">
        <v>4</v>
      </c>
      <c r="R236" s="28">
        <v>4</v>
      </c>
    </row>
    <row r="237" spans="1:20" x14ac:dyDescent="0.3">
      <c r="A237" s="353" t="s">
        <v>5</v>
      </c>
      <c r="B237" s="388" t="s">
        <v>105</v>
      </c>
      <c r="C237" s="389" t="s">
        <v>26</v>
      </c>
      <c r="D237" s="388" t="s">
        <v>556</v>
      </c>
      <c r="E237" s="389" t="s">
        <v>886</v>
      </c>
      <c r="F237" s="389" t="s">
        <v>933</v>
      </c>
      <c r="G237" s="392" t="s">
        <v>115</v>
      </c>
      <c r="H237" s="388">
        <v>4</v>
      </c>
      <c r="P237" s="28">
        <v>4</v>
      </c>
    </row>
    <row r="238" spans="1:20" x14ac:dyDescent="0.3">
      <c r="A238" s="353" t="s">
        <v>5</v>
      </c>
      <c r="B238" s="388" t="s">
        <v>105</v>
      </c>
      <c r="C238" s="389" t="s">
        <v>26</v>
      </c>
      <c r="D238" s="388" t="s">
        <v>556</v>
      </c>
      <c r="E238" s="389" t="s">
        <v>788</v>
      </c>
      <c r="F238" s="389" t="s">
        <v>934</v>
      </c>
      <c r="G238" s="392" t="s">
        <v>116</v>
      </c>
      <c r="H238" s="388">
        <v>4</v>
      </c>
      <c r="Q238" s="28">
        <v>4</v>
      </c>
    </row>
    <row r="239" spans="1:20" x14ac:dyDescent="0.3">
      <c r="A239" s="353" t="s">
        <v>5</v>
      </c>
      <c r="B239" s="388" t="s">
        <v>105</v>
      </c>
      <c r="C239" s="389" t="s">
        <v>26</v>
      </c>
      <c r="D239" s="388" t="s">
        <v>556</v>
      </c>
      <c r="E239" s="389" t="s">
        <v>565</v>
      </c>
      <c r="F239" s="75" t="s">
        <v>956</v>
      </c>
      <c r="G239" s="392" t="s">
        <v>117</v>
      </c>
      <c r="H239" s="388">
        <v>4</v>
      </c>
    </row>
    <row r="240" spans="1:20" x14ac:dyDescent="0.3">
      <c r="A240" s="353" t="s">
        <v>5</v>
      </c>
      <c r="B240" s="388" t="s">
        <v>105</v>
      </c>
      <c r="C240" s="389" t="s">
        <v>26</v>
      </c>
      <c r="D240" s="388" t="s">
        <v>556</v>
      </c>
      <c r="E240" s="389" t="s">
        <v>887</v>
      </c>
      <c r="F240" s="389" t="s">
        <v>935</v>
      </c>
      <c r="G240" s="392" t="s">
        <v>118</v>
      </c>
      <c r="H240" s="388">
        <v>4</v>
      </c>
      <c r="K240" s="420">
        <v>4</v>
      </c>
    </row>
    <row r="241" spans="1:19" x14ac:dyDescent="0.3">
      <c r="A241" s="353" t="s">
        <v>5</v>
      </c>
      <c r="B241" s="388" t="s">
        <v>105</v>
      </c>
      <c r="C241" s="389" t="s">
        <v>26</v>
      </c>
      <c r="D241" s="388" t="s">
        <v>556</v>
      </c>
      <c r="E241" s="389" t="s">
        <v>888</v>
      </c>
      <c r="F241" s="389" t="s">
        <v>936</v>
      </c>
      <c r="G241" s="392" t="s">
        <v>119</v>
      </c>
      <c r="H241" s="388">
        <v>4</v>
      </c>
      <c r="K241" s="420">
        <v>4</v>
      </c>
    </row>
    <row r="242" spans="1:19" x14ac:dyDescent="0.3">
      <c r="A242" s="353" t="s">
        <v>5</v>
      </c>
      <c r="B242" s="388" t="s">
        <v>105</v>
      </c>
      <c r="C242" s="389" t="s">
        <v>26</v>
      </c>
      <c r="D242" s="388" t="s">
        <v>556</v>
      </c>
      <c r="E242" s="389" t="s">
        <v>888</v>
      </c>
      <c r="F242" s="389" t="s">
        <v>937</v>
      </c>
      <c r="G242" s="392" t="s">
        <v>120</v>
      </c>
      <c r="H242" s="388">
        <v>4</v>
      </c>
    </row>
    <row r="243" spans="1:19" x14ac:dyDescent="0.3">
      <c r="A243" s="353" t="s">
        <v>5</v>
      </c>
      <c r="B243" s="388" t="s">
        <v>105</v>
      </c>
      <c r="C243" s="389" t="s">
        <v>26</v>
      </c>
      <c r="D243" s="388" t="s">
        <v>556</v>
      </c>
      <c r="E243" s="389" t="s">
        <v>788</v>
      </c>
      <c r="F243" s="389" t="s">
        <v>938</v>
      </c>
      <c r="G243" s="392" t="s">
        <v>121</v>
      </c>
      <c r="H243" s="388">
        <v>4</v>
      </c>
    </row>
    <row r="244" spans="1:19" x14ac:dyDescent="0.3">
      <c r="A244" s="353" t="s">
        <v>5</v>
      </c>
      <c r="B244" s="388" t="s">
        <v>105</v>
      </c>
      <c r="C244" s="389" t="s">
        <v>26</v>
      </c>
      <c r="D244" s="388" t="s">
        <v>556</v>
      </c>
      <c r="E244" s="389" t="s">
        <v>788</v>
      </c>
      <c r="F244" s="389" t="s">
        <v>958</v>
      </c>
      <c r="G244" s="392" t="s">
        <v>127</v>
      </c>
      <c r="H244" s="388">
        <v>4</v>
      </c>
      <c r="Q244" s="28">
        <v>3</v>
      </c>
    </row>
    <row r="245" spans="1:19" x14ac:dyDescent="0.3">
      <c r="A245" s="353" t="s">
        <v>5</v>
      </c>
      <c r="B245" s="388" t="s">
        <v>105</v>
      </c>
      <c r="C245" s="389" t="s">
        <v>26</v>
      </c>
      <c r="D245" s="388" t="s">
        <v>556</v>
      </c>
      <c r="E245" s="389" t="s">
        <v>786</v>
      </c>
      <c r="F245" s="389" t="s">
        <v>948</v>
      </c>
      <c r="G245" s="392" t="s">
        <v>924</v>
      </c>
      <c r="H245" s="388">
        <v>3</v>
      </c>
      <c r="M245" s="28">
        <v>3</v>
      </c>
      <c r="S245" s="28">
        <v>3</v>
      </c>
    </row>
    <row r="246" spans="1:19" x14ac:dyDescent="0.3">
      <c r="A246" s="353" t="s">
        <v>5</v>
      </c>
      <c r="B246" s="388" t="s">
        <v>105</v>
      </c>
      <c r="C246" s="389" t="s">
        <v>26</v>
      </c>
      <c r="D246" s="388" t="s">
        <v>556</v>
      </c>
      <c r="E246" s="389" t="s">
        <v>788</v>
      </c>
      <c r="F246" s="389" t="s">
        <v>942</v>
      </c>
      <c r="G246" s="392" t="s">
        <v>126</v>
      </c>
      <c r="H246" s="388">
        <v>4</v>
      </c>
    </row>
    <row r="247" spans="1:19" x14ac:dyDescent="0.3">
      <c r="A247" s="353" t="s">
        <v>5</v>
      </c>
      <c r="B247" s="388" t="s">
        <v>105</v>
      </c>
      <c r="C247" s="389" t="s">
        <v>26</v>
      </c>
      <c r="D247" s="388" t="s">
        <v>556</v>
      </c>
      <c r="E247" s="389" t="s">
        <v>787</v>
      </c>
      <c r="F247" s="389" t="s">
        <v>949</v>
      </c>
      <c r="G247" s="392" t="s">
        <v>104</v>
      </c>
      <c r="H247" s="388">
        <v>3</v>
      </c>
      <c r="P247" s="28">
        <v>3</v>
      </c>
    </row>
    <row r="248" spans="1:19" x14ac:dyDescent="0.3">
      <c r="A248" s="353" t="s">
        <v>5</v>
      </c>
      <c r="B248" s="388" t="s">
        <v>105</v>
      </c>
      <c r="C248" s="389" t="s">
        <v>26</v>
      </c>
      <c r="D248" s="388" t="s">
        <v>556</v>
      </c>
      <c r="E248" s="389" t="s">
        <v>715</v>
      </c>
      <c r="F248" s="75" t="s">
        <v>939</v>
      </c>
      <c r="G248" s="392" t="s">
        <v>122</v>
      </c>
      <c r="H248" s="388">
        <v>4</v>
      </c>
    </row>
    <row r="249" spans="1:19" x14ac:dyDescent="0.3">
      <c r="A249" s="353" t="s">
        <v>5</v>
      </c>
      <c r="B249" s="388" t="s">
        <v>105</v>
      </c>
      <c r="C249" s="389" t="s">
        <v>26</v>
      </c>
      <c r="D249" s="388" t="s">
        <v>556</v>
      </c>
      <c r="E249" s="389" t="s">
        <v>610</v>
      </c>
      <c r="F249" s="75" t="s">
        <v>928</v>
      </c>
      <c r="G249" s="392" t="s">
        <v>560</v>
      </c>
      <c r="H249" s="388">
        <v>2</v>
      </c>
      <c r="K249" s="420">
        <v>2</v>
      </c>
      <c r="N249" s="28">
        <v>2</v>
      </c>
      <c r="R249" s="28">
        <v>2</v>
      </c>
    </row>
    <row r="250" spans="1:19" ht="11.5" customHeight="1" x14ac:dyDescent="0.3">
      <c r="A250" s="353" t="s">
        <v>5</v>
      </c>
      <c r="B250" s="388" t="s">
        <v>105</v>
      </c>
      <c r="C250" s="389" t="s">
        <v>26</v>
      </c>
      <c r="D250" s="388" t="s">
        <v>556</v>
      </c>
      <c r="E250" s="389" t="s">
        <v>607</v>
      </c>
      <c r="F250" s="75" t="s">
        <v>944</v>
      </c>
      <c r="G250" s="392" t="s">
        <v>923</v>
      </c>
      <c r="H250" s="388">
        <v>3</v>
      </c>
      <c r="J250" s="28">
        <v>3</v>
      </c>
      <c r="Q250" s="28">
        <v>3</v>
      </c>
    </row>
    <row r="251" spans="1:19" x14ac:dyDescent="0.3">
      <c r="A251" s="353" t="s">
        <v>5</v>
      </c>
      <c r="B251" s="388" t="s">
        <v>105</v>
      </c>
      <c r="C251" s="389" t="s">
        <v>26</v>
      </c>
      <c r="D251" s="388" t="s">
        <v>556</v>
      </c>
      <c r="E251" s="389" t="s">
        <v>610</v>
      </c>
      <c r="F251" s="75" t="s">
        <v>943</v>
      </c>
      <c r="G251" s="392" t="s">
        <v>422</v>
      </c>
      <c r="H251" s="388">
        <v>2</v>
      </c>
      <c r="K251" s="420">
        <v>2</v>
      </c>
      <c r="N251" s="28">
        <v>2</v>
      </c>
      <c r="Q251" s="28">
        <v>2</v>
      </c>
    </row>
    <row r="252" spans="1:19" x14ac:dyDescent="0.3">
      <c r="A252" s="353" t="s">
        <v>5</v>
      </c>
      <c r="B252" s="388" t="s">
        <v>105</v>
      </c>
      <c r="C252" s="389" t="s">
        <v>26</v>
      </c>
      <c r="D252" s="388" t="s">
        <v>556</v>
      </c>
      <c r="E252" s="389" t="s">
        <v>612</v>
      </c>
      <c r="F252" s="75" t="s">
        <v>945</v>
      </c>
      <c r="G252" s="392" t="s">
        <v>946</v>
      </c>
      <c r="H252" s="388">
        <v>4</v>
      </c>
      <c r="P252" s="28">
        <v>4</v>
      </c>
    </row>
    <row r="253" spans="1:19" x14ac:dyDescent="0.3">
      <c r="A253" s="353" t="s">
        <v>5</v>
      </c>
      <c r="B253" s="388" t="s">
        <v>105</v>
      </c>
      <c r="C253" s="389" t="s">
        <v>26</v>
      </c>
      <c r="D253" s="388" t="s">
        <v>556</v>
      </c>
      <c r="E253" s="389" t="s">
        <v>788</v>
      </c>
      <c r="F253" s="75" t="s">
        <v>940</v>
      </c>
      <c r="G253" s="392" t="s">
        <v>123</v>
      </c>
      <c r="H253" s="388">
        <v>4</v>
      </c>
      <c r="P253" s="28">
        <v>4</v>
      </c>
    </row>
    <row r="254" spans="1:19" s="74" customFormat="1" x14ac:dyDescent="0.3">
      <c r="A254" s="74" t="s">
        <v>5</v>
      </c>
      <c r="B254" s="388" t="s">
        <v>105</v>
      </c>
      <c r="C254" s="389" t="s">
        <v>26</v>
      </c>
      <c r="D254" s="388" t="s">
        <v>556</v>
      </c>
      <c r="E254" s="389" t="s">
        <v>889</v>
      </c>
      <c r="F254" s="389" t="s">
        <v>941</v>
      </c>
      <c r="G254" s="75" t="s">
        <v>124</v>
      </c>
      <c r="H254" s="388">
        <v>4</v>
      </c>
      <c r="J254" s="74">
        <v>4</v>
      </c>
    </row>
    <row r="255" spans="1:19" x14ac:dyDescent="0.3">
      <c r="A255" s="353" t="s">
        <v>5</v>
      </c>
      <c r="B255" s="388" t="s">
        <v>105</v>
      </c>
      <c r="C255" s="389" t="s">
        <v>26</v>
      </c>
      <c r="D255" s="388" t="s">
        <v>556</v>
      </c>
      <c r="E255" s="389" t="s">
        <v>788</v>
      </c>
      <c r="F255" s="389" t="s">
        <v>955</v>
      </c>
      <c r="G255" s="392" t="s">
        <v>125</v>
      </c>
      <c r="H255" s="388">
        <v>4</v>
      </c>
      <c r="R255" s="28">
        <v>4</v>
      </c>
    </row>
    <row r="256" spans="1:19" x14ac:dyDescent="0.3">
      <c r="A256" s="353" t="s">
        <v>5</v>
      </c>
      <c r="B256" s="388" t="s">
        <v>105</v>
      </c>
      <c r="C256" s="389" t="s">
        <v>26</v>
      </c>
      <c r="D256" s="388" t="s">
        <v>556</v>
      </c>
      <c r="E256" s="389" t="s">
        <v>788</v>
      </c>
      <c r="F256" s="389" t="s">
        <v>953</v>
      </c>
      <c r="G256" s="392" t="s">
        <v>109</v>
      </c>
      <c r="H256" s="388">
        <v>4</v>
      </c>
      <c r="R256" s="28">
        <v>4</v>
      </c>
    </row>
    <row r="257" spans="1:19" x14ac:dyDescent="0.3">
      <c r="A257" s="353" t="s">
        <v>5</v>
      </c>
      <c r="B257" s="388" t="s">
        <v>105</v>
      </c>
      <c r="C257" s="389" t="s">
        <v>26</v>
      </c>
      <c r="D257" s="388" t="s">
        <v>556</v>
      </c>
      <c r="E257" s="389" t="s">
        <v>788</v>
      </c>
      <c r="F257" s="389" t="s">
        <v>950</v>
      </c>
      <c r="G257" s="392" t="s">
        <v>947</v>
      </c>
      <c r="H257" s="388">
        <v>4</v>
      </c>
      <c r="R257" s="28">
        <v>4</v>
      </c>
    </row>
    <row r="258" spans="1:19" x14ac:dyDescent="0.3">
      <c r="A258" s="353" t="s">
        <v>5</v>
      </c>
      <c r="B258" s="388" t="s">
        <v>105</v>
      </c>
      <c r="C258" s="389" t="s">
        <v>26</v>
      </c>
      <c r="D258" s="388" t="s">
        <v>556</v>
      </c>
      <c r="E258" s="389" t="s">
        <v>788</v>
      </c>
      <c r="F258" s="389" t="s">
        <v>951</v>
      </c>
      <c r="G258" s="392" t="s">
        <v>107</v>
      </c>
      <c r="H258" s="388">
        <v>4</v>
      </c>
      <c r="J258" s="28">
        <v>4</v>
      </c>
      <c r="R258" s="28">
        <v>4</v>
      </c>
    </row>
    <row r="259" spans="1:19" x14ac:dyDescent="0.3">
      <c r="A259" s="353" t="s">
        <v>5</v>
      </c>
      <c r="B259" s="388" t="s">
        <v>105</v>
      </c>
      <c r="C259" s="389" t="s">
        <v>26</v>
      </c>
      <c r="D259" s="388" t="s">
        <v>556</v>
      </c>
      <c r="E259" s="389" t="s">
        <v>788</v>
      </c>
      <c r="F259" s="389" t="s">
        <v>957</v>
      </c>
      <c r="G259" s="392" t="s">
        <v>106</v>
      </c>
      <c r="H259" s="388">
        <v>4</v>
      </c>
      <c r="J259" s="28">
        <v>4</v>
      </c>
      <c r="S259" s="28">
        <v>4</v>
      </c>
    </row>
    <row r="260" spans="1:19" x14ac:dyDescent="0.3">
      <c r="A260" s="353" t="s">
        <v>5</v>
      </c>
      <c r="B260" s="388" t="s">
        <v>105</v>
      </c>
      <c r="C260" s="389" t="s">
        <v>26</v>
      </c>
      <c r="D260" s="388" t="s">
        <v>556</v>
      </c>
      <c r="E260" s="389" t="s">
        <v>788</v>
      </c>
      <c r="F260" s="389" t="s">
        <v>952</v>
      </c>
      <c r="G260" s="392" t="s">
        <v>108</v>
      </c>
      <c r="H260" s="388">
        <v>4</v>
      </c>
      <c r="R260" s="28">
        <v>4</v>
      </c>
    </row>
    <row r="261" spans="1:19" x14ac:dyDescent="0.3">
      <c r="A261" s="353" t="s">
        <v>5</v>
      </c>
      <c r="B261" s="388" t="s">
        <v>105</v>
      </c>
      <c r="C261" s="389" t="s">
        <v>26</v>
      </c>
      <c r="D261" s="388" t="s">
        <v>556</v>
      </c>
      <c r="E261" s="389" t="s">
        <v>788</v>
      </c>
      <c r="F261" s="389" t="s">
        <v>954</v>
      </c>
      <c r="G261" s="392" t="s">
        <v>423</v>
      </c>
      <c r="H261" s="388">
        <v>4</v>
      </c>
      <c r="O261" s="28">
        <v>4</v>
      </c>
    </row>
    <row r="262" spans="1:19" x14ac:dyDescent="0.3">
      <c r="A262" s="353" t="s">
        <v>5</v>
      </c>
      <c r="B262" s="388" t="s">
        <v>105</v>
      </c>
      <c r="C262" s="389" t="s">
        <v>26</v>
      </c>
      <c r="D262" s="388" t="s">
        <v>556</v>
      </c>
      <c r="E262" s="389" t="s">
        <v>788</v>
      </c>
      <c r="F262" s="389" t="s">
        <v>954</v>
      </c>
      <c r="G262" s="392" t="s">
        <v>561</v>
      </c>
      <c r="H262" s="388">
        <v>4</v>
      </c>
    </row>
    <row r="263" spans="1:19" x14ac:dyDescent="0.3">
      <c r="A263" s="353" t="s">
        <v>5</v>
      </c>
      <c r="B263" s="388" t="s">
        <v>105</v>
      </c>
      <c r="C263" s="75" t="s">
        <v>405</v>
      </c>
      <c r="D263" s="388" t="s">
        <v>557</v>
      </c>
      <c r="E263" s="75" t="s">
        <v>605</v>
      </c>
      <c r="F263" s="75" t="s">
        <v>606</v>
      </c>
      <c r="G263" s="392" t="s">
        <v>457</v>
      </c>
      <c r="H263" s="388">
        <v>2</v>
      </c>
      <c r="L263" s="420">
        <v>2</v>
      </c>
      <c r="P263" s="28">
        <v>2</v>
      </c>
      <c r="S263" s="28">
        <v>2</v>
      </c>
    </row>
    <row r="264" spans="1:19" x14ac:dyDescent="0.3">
      <c r="A264" s="353" t="s">
        <v>5</v>
      </c>
      <c r="B264" s="388" t="s">
        <v>105</v>
      </c>
      <c r="C264" s="389" t="s">
        <v>1500</v>
      </c>
      <c r="D264" s="388" t="s">
        <v>557</v>
      </c>
      <c r="E264" s="75" t="s">
        <v>648</v>
      </c>
      <c r="F264" s="75" t="s">
        <v>649</v>
      </c>
      <c r="G264" s="392" t="s">
        <v>440</v>
      </c>
      <c r="H264" s="388">
        <v>3</v>
      </c>
      <c r="L264" s="420">
        <v>3</v>
      </c>
      <c r="R264" s="28">
        <v>3</v>
      </c>
    </row>
    <row r="265" spans="1:19" x14ac:dyDescent="0.3">
      <c r="A265" s="353" t="s">
        <v>5</v>
      </c>
      <c r="B265" s="388" t="s">
        <v>105</v>
      </c>
      <c r="C265" s="389" t="s">
        <v>1501</v>
      </c>
      <c r="D265" s="388" t="s">
        <v>557</v>
      </c>
      <c r="E265" s="75" t="s">
        <v>654</v>
      </c>
      <c r="F265" s="75" t="s">
        <v>650</v>
      </c>
      <c r="G265" s="392" t="s">
        <v>441</v>
      </c>
      <c r="H265" s="388">
        <v>3</v>
      </c>
      <c r="L265" s="420">
        <v>3</v>
      </c>
      <c r="R265" s="28">
        <v>3</v>
      </c>
    </row>
    <row r="266" spans="1:19" x14ac:dyDescent="0.3">
      <c r="A266" s="353" t="s">
        <v>5</v>
      </c>
      <c r="B266" s="388" t="s">
        <v>105</v>
      </c>
      <c r="C266" s="389" t="s">
        <v>1502</v>
      </c>
      <c r="D266" s="388" t="s">
        <v>557</v>
      </c>
      <c r="E266" s="75" t="s">
        <v>655</v>
      </c>
      <c r="F266" s="75" t="s">
        <v>651</v>
      </c>
      <c r="G266" s="392" t="s">
        <v>442</v>
      </c>
      <c r="H266" s="388">
        <v>3</v>
      </c>
      <c r="L266" s="420">
        <v>3</v>
      </c>
      <c r="R266" s="28">
        <v>3</v>
      </c>
    </row>
    <row r="267" spans="1:19" x14ac:dyDescent="0.3">
      <c r="A267" s="353" t="s">
        <v>5</v>
      </c>
      <c r="B267" s="388" t="s">
        <v>105</v>
      </c>
      <c r="C267" s="389" t="s">
        <v>1503</v>
      </c>
      <c r="D267" s="388" t="s">
        <v>557</v>
      </c>
      <c r="E267" s="75" t="s">
        <v>656</v>
      </c>
      <c r="F267" s="75" t="s">
        <v>652</v>
      </c>
      <c r="G267" s="392" t="s">
        <v>443</v>
      </c>
      <c r="H267" s="388">
        <v>3</v>
      </c>
      <c r="L267" s="420">
        <v>3</v>
      </c>
      <c r="R267" s="28">
        <v>3</v>
      </c>
    </row>
    <row r="268" spans="1:19" x14ac:dyDescent="0.3">
      <c r="A268" s="353" t="s">
        <v>5</v>
      </c>
      <c r="B268" s="388" t="s">
        <v>105</v>
      </c>
      <c r="C268" s="389" t="s">
        <v>1504</v>
      </c>
      <c r="D268" s="388" t="s">
        <v>557</v>
      </c>
      <c r="E268" s="75" t="s">
        <v>657</v>
      </c>
      <c r="F268" s="75" t="s">
        <v>653</v>
      </c>
      <c r="G268" s="392" t="s">
        <v>444</v>
      </c>
      <c r="H268" s="388">
        <v>3</v>
      </c>
      <c r="L268" s="420">
        <v>3</v>
      </c>
      <c r="R268" s="28">
        <v>3</v>
      </c>
    </row>
    <row r="269" spans="1:19" x14ac:dyDescent="0.3">
      <c r="A269" s="353" t="s">
        <v>5</v>
      </c>
      <c r="B269" s="388" t="s">
        <v>105</v>
      </c>
      <c r="C269" s="389" t="s">
        <v>1505</v>
      </c>
      <c r="D269" s="388" t="s">
        <v>557</v>
      </c>
      <c r="E269" s="75" t="s">
        <v>800</v>
      </c>
      <c r="F269" s="75" t="s">
        <v>338</v>
      </c>
      <c r="G269" s="392" t="s">
        <v>445</v>
      </c>
      <c r="H269" s="388">
        <v>3</v>
      </c>
      <c r="L269" s="420">
        <v>3</v>
      </c>
      <c r="R269" s="28">
        <v>3</v>
      </c>
    </row>
    <row r="270" spans="1:19" x14ac:dyDescent="0.3">
      <c r="A270" s="353" t="s">
        <v>5</v>
      </c>
      <c r="B270" s="388" t="s">
        <v>105</v>
      </c>
      <c r="C270" s="389" t="s">
        <v>1506</v>
      </c>
      <c r="D270" s="388" t="s">
        <v>557</v>
      </c>
      <c r="E270" s="75" t="s">
        <v>801</v>
      </c>
      <c r="F270" s="75" t="s">
        <v>339</v>
      </c>
      <c r="G270" s="392" t="s">
        <v>446</v>
      </c>
      <c r="H270" s="388">
        <v>3</v>
      </c>
      <c r="O270" s="28">
        <v>3</v>
      </c>
    </row>
    <row r="271" spans="1:19" x14ac:dyDescent="0.3">
      <c r="A271" s="353" t="s">
        <v>5</v>
      </c>
      <c r="B271" s="388" t="s">
        <v>105</v>
      </c>
      <c r="C271" s="389" t="s">
        <v>1507</v>
      </c>
      <c r="D271" s="388" t="s">
        <v>557</v>
      </c>
      <c r="E271" s="75" t="s">
        <v>802</v>
      </c>
      <c r="F271" s="75" t="s">
        <v>340</v>
      </c>
      <c r="G271" s="392" t="s">
        <v>447</v>
      </c>
      <c r="H271" s="388">
        <v>3</v>
      </c>
      <c r="O271" s="28">
        <v>3</v>
      </c>
    </row>
    <row r="272" spans="1:19" x14ac:dyDescent="0.3">
      <c r="A272" s="353" t="s">
        <v>5</v>
      </c>
      <c r="B272" s="388" t="s">
        <v>105</v>
      </c>
      <c r="C272" s="389" t="s">
        <v>1508</v>
      </c>
      <c r="D272" s="388" t="s">
        <v>557</v>
      </c>
      <c r="E272" s="75" t="s">
        <v>803</v>
      </c>
      <c r="F272" s="75" t="s">
        <v>341</v>
      </c>
      <c r="G272" s="392" t="s">
        <v>448</v>
      </c>
      <c r="H272" s="388">
        <v>3</v>
      </c>
      <c r="O272" s="28">
        <v>3</v>
      </c>
    </row>
    <row r="273" spans="1:24" x14ac:dyDescent="0.3">
      <c r="A273" s="353" t="s">
        <v>5</v>
      </c>
      <c r="B273" s="388" t="s">
        <v>105</v>
      </c>
      <c r="C273" s="389" t="s">
        <v>1509</v>
      </c>
      <c r="D273" s="388" t="s">
        <v>557</v>
      </c>
      <c r="E273" s="75" t="s">
        <v>804</v>
      </c>
      <c r="F273" s="75" t="s">
        <v>342</v>
      </c>
      <c r="G273" s="392" t="s">
        <v>449</v>
      </c>
      <c r="H273" s="388">
        <v>3</v>
      </c>
      <c r="O273" s="28">
        <v>3</v>
      </c>
    </row>
    <row r="274" spans="1:24" s="74" customFormat="1" ht="13" x14ac:dyDescent="0.3">
      <c r="A274" s="74" t="s">
        <v>5</v>
      </c>
      <c r="B274" s="388" t="s">
        <v>105</v>
      </c>
      <c r="C274" s="389" t="s">
        <v>1520</v>
      </c>
      <c r="D274" s="388" t="s">
        <v>557</v>
      </c>
      <c r="E274" s="75" t="s">
        <v>483</v>
      </c>
      <c r="F274" s="75" t="s">
        <v>484</v>
      </c>
      <c r="G274" s="506" t="s">
        <v>1616</v>
      </c>
      <c r="H274" s="1">
        <v>1</v>
      </c>
      <c r="I274" s="74">
        <v>1</v>
      </c>
      <c r="J274" s="74">
        <v>1</v>
      </c>
      <c r="K274" s="420">
        <v>1</v>
      </c>
      <c r="L274" s="420">
        <v>1</v>
      </c>
      <c r="N274" s="74">
        <v>1</v>
      </c>
      <c r="O274" s="74">
        <v>1</v>
      </c>
      <c r="P274" s="74">
        <v>1</v>
      </c>
      <c r="Q274" s="74">
        <v>1</v>
      </c>
      <c r="R274" s="74">
        <v>1</v>
      </c>
      <c r="S274" s="74">
        <v>1</v>
      </c>
      <c r="T274" s="74">
        <v>1</v>
      </c>
      <c r="U274" s="74">
        <v>1</v>
      </c>
      <c r="V274" s="505">
        <v>1</v>
      </c>
      <c r="X274" s="74">
        <v>1</v>
      </c>
    </row>
    <row r="275" spans="1:24" x14ac:dyDescent="0.3">
      <c r="A275" s="353" t="s">
        <v>5</v>
      </c>
      <c r="B275" s="388" t="s">
        <v>105</v>
      </c>
      <c r="C275" s="389" t="s">
        <v>1510</v>
      </c>
      <c r="D275" s="388" t="s">
        <v>557</v>
      </c>
      <c r="E275" s="75" t="s">
        <v>805</v>
      </c>
      <c r="F275" s="75" t="s">
        <v>343</v>
      </c>
      <c r="G275" s="392" t="s">
        <v>450</v>
      </c>
      <c r="H275" s="388">
        <v>3</v>
      </c>
      <c r="O275" s="28">
        <v>3</v>
      </c>
    </row>
    <row r="276" spans="1:24" x14ac:dyDescent="0.3">
      <c r="A276" s="353" t="s">
        <v>5</v>
      </c>
      <c r="B276" s="388" t="s">
        <v>105</v>
      </c>
      <c r="C276" s="389" t="s">
        <v>1511</v>
      </c>
      <c r="D276" s="388" t="s">
        <v>557</v>
      </c>
      <c r="E276" s="75" t="s">
        <v>806</v>
      </c>
      <c r="F276" s="75" t="s">
        <v>344</v>
      </c>
      <c r="G276" s="392" t="s">
        <v>451</v>
      </c>
      <c r="H276" s="388">
        <v>3</v>
      </c>
      <c r="O276" s="28">
        <v>3</v>
      </c>
    </row>
    <row r="277" spans="1:24" x14ac:dyDescent="0.3">
      <c r="A277" s="353" t="s">
        <v>5</v>
      </c>
      <c r="B277" s="388" t="s">
        <v>105</v>
      </c>
      <c r="C277" s="389" t="s">
        <v>1512</v>
      </c>
      <c r="D277" s="388" t="s">
        <v>557</v>
      </c>
      <c r="E277" s="75" t="s">
        <v>807</v>
      </c>
      <c r="F277" s="75" t="s">
        <v>345</v>
      </c>
      <c r="G277" s="392" t="s">
        <v>452</v>
      </c>
      <c r="H277" s="388">
        <v>3</v>
      </c>
      <c r="O277" s="28">
        <v>3</v>
      </c>
    </row>
    <row r="278" spans="1:24" x14ac:dyDescent="0.3">
      <c r="A278" s="353" t="s">
        <v>5</v>
      </c>
      <c r="B278" s="388" t="s">
        <v>105</v>
      </c>
      <c r="C278" s="389" t="s">
        <v>1513</v>
      </c>
      <c r="D278" s="388" t="s">
        <v>557</v>
      </c>
      <c r="E278" s="75" t="s">
        <v>808</v>
      </c>
      <c r="F278" s="75" t="s">
        <v>346</v>
      </c>
      <c r="G278" s="392" t="s">
        <v>453</v>
      </c>
      <c r="H278" s="388">
        <v>3</v>
      </c>
      <c r="O278" s="28">
        <v>3</v>
      </c>
    </row>
    <row r="279" spans="1:24" x14ac:dyDescent="0.3">
      <c r="A279" s="353" t="s">
        <v>5</v>
      </c>
      <c r="B279" s="388" t="s">
        <v>105</v>
      </c>
      <c r="C279" s="389" t="s">
        <v>1514</v>
      </c>
      <c r="D279" s="388" t="s">
        <v>557</v>
      </c>
      <c r="E279" s="75" t="s">
        <v>809</v>
      </c>
      <c r="F279" s="75" t="s">
        <v>347</v>
      </c>
      <c r="G279" s="392" t="s">
        <v>454</v>
      </c>
      <c r="H279" s="388">
        <v>3</v>
      </c>
      <c r="O279" s="28">
        <v>3</v>
      </c>
    </row>
    <row r="280" spans="1:24" x14ac:dyDescent="0.3">
      <c r="A280" s="353" t="s">
        <v>5</v>
      </c>
      <c r="B280" s="388" t="s">
        <v>105</v>
      </c>
      <c r="C280" s="389" t="s">
        <v>1515</v>
      </c>
      <c r="D280" s="388" t="s">
        <v>557</v>
      </c>
      <c r="E280" s="75" t="s">
        <v>603</v>
      </c>
      <c r="F280" s="75" t="s">
        <v>604</v>
      </c>
      <c r="G280" s="392" t="s">
        <v>455</v>
      </c>
      <c r="H280" s="388">
        <v>3</v>
      </c>
      <c r="J280" s="28">
        <v>3</v>
      </c>
      <c r="Q280" s="28">
        <v>3</v>
      </c>
    </row>
    <row r="281" spans="1:24" x14ac:dyDescent="0.3">
      <c r="A281" s="353" t="s">
        <v>5</v>
      </c>
      <c r="B281" s="388" t="s">
        <v>105</v>
      </c>
      <c r="C281" s="389" t="s">
        <v>1516</v>
      </c>
      <c r="D281" s="388" t="s">
        <v>557</v>
      </c>
      <c r="E281" s="75" t="s">
        <v>601</v>
      </c>
      <c r="F281" s="75" t="s">
        <v>602</v>
      </c>
      <c r="G281" s="392" t="s">
        <v>456</v>
      </c>
      <c r="H281" s="388">
        <v>3</v>
      </c>
      <c r="J281" s="28">
        <v>3</v>
      </c>
      <c r="Q281" s="28">
        <v>3</v>
      </c>
    </row>
    <row r="282" spans="1:24" s="74" customFormat="1" ht="13" x14ac:dyDescent="0.3">
      <c r="A282" s="74" t="s">
        <v>5</v>
      </c>
      <c r="B282" s="388" t="s">
        <v>105</v>
      </c>
      <c r="C282" s="389" t="s">
        <v>1521</v>
      </c>
      <c r="D282" s="388" t="s">
        <v>557</v>
      </c>
      <c r="E282" s="75" t="s">
        <v>485</v>
      </c>
      <c r="F282" s="75" t="s">
        <v>486</v>
      </c>
      <c r="G282" s="506" t="s">
        <v>1617</v>
      </c>
      <c r="H282" s="1">
        <v>1</v>
      </c>
      <c r="I282" s="74">
        <v>1</v>
      </c>
      <c r="J282" s="74">
        <v>1</v>
      </c>
      <c r="K282" s="420">
        <v>1</v>
      </c>
      <c r="L282" s="420">
        <v>1</v>
      </c>
      <c r="N282" s="74">
        <v>1</v>
      </c>
      <c r="O282" s="74">
        <v>1</v>
      </c>
      <c r="P282" s="74">
        <v>1</v>
      </c>
      <c r="Q282" s="74">
        <v>1</v>
      </c>
      <c r="R282" s="74">
        <v>1</v>
      </c>
      <c r="S282" s="74">
        <v>1</v>
      </c>
      <c r="T282" s="74">
        <v>1</v>
      </c>
      <c r="U282" s="74">
        <v>1</v>
      </c>
      <c r="V282" s="74">
        <v>1</v>
      </c>
      <c r="X282" s="74">
        <v>1</v>
      </c>
    </row>
    <row r="283" spans="1:24" s="74" customFormat="1" ht="13" x14ac:dyDescent="0.3">
      <c r="A283" s="74" t="s">
        <v>5</v>
      </c>
      <c r="B283" s="388" t="s">
        <v>105</v>
      </c>
      <c r="C283" s="389" t="s">
        <v>1521</v>
      </c>
      <c r="D283" s="388" t="s">
        <v>557</v>
      </c>
      <c r="E283" s="75" t="s">
        <v>487</v>
      </c>
      <c r="F283" s="75" t="s">
        <v>488</v>
      </c>
      <c r="G283" s="506" t="s">
        <v>1618</v>
      </c>
      <c r="H283" s="1">
        <v>1</v>
      </c>
      <c r="I283" s="74">
        <v>1</v>
      </c>
      <c r="J283" s="74">
        <v>1</v>
      </c>
      <c r="K283" s="420">
        <v>1</v>
      </c>
      <c r="L283" s="420">
        <v>1</v>
      </c>
      <c r="N283" s="74">
        <v>1</v>
      </c>
      <c r="O283" s="74">
        <v>1</v>
      </c>
      <c r="P283" s="74">
        <v>1</v>
      </c>
      <c r="Q283" s="74">
        <v>1</v>
      </c>
      <c r="R283" s="74">
        <v>1</v>
      </c>
      <c r="S283" s="74">
        <v>1</v>
      </c>
      <c r="T283" s="74">
        <v>1</v>
      </c>
      <c r="U283" s="74">
        <v>1</v>
      </c>
      <c r="V283" s="74">
        <v>1</v>
      </c>
      <c r="X283" s="74">
        <v>1</v>
      </c>
    </row>
    <row r="284" spans="1:24" x14ac:dyDescent="0.3">
      <c r="A284" s="353" t="s">
        <v>5</v>
      </c>
      <c r="B284" s="388" t="s">
        <v>105</v>
      </c>
      <c r="C284" s="389" t="s">
        <v>1517</v>
      </c>
      <c r="D284" s="388" t="s">
        <v>557</v>
      </c>
      <c r="E284" s="75" t="s">
        <v>642</v>
      </c>
      <c r="F284" s="75" t="s">
        <v>643</v>
      </c>
      <c r="G284" s="392" t="s">
        <v>437</v>
      </c>
      <c r="H284" s="388">
        <v>3</v>
      </c>
      <c r="L284" s="420">
        <v>3</v>
      </c>
      <c r="R284" s="28">
        <v>3</v>
      </c>
    </row>
    <row r="285" spans="1:24" x14ac:dyDescent="0.3">
      <c r="A285" s="353" t="s">
        <v>5</v>
      </c>
      <c r="B285" s="388" t="s">
        <v>105</v>
      </c>
      <c r="C285" s="389" t="s">
        <v>1518</v>
      </c>
      <c r="D285" s="388" t="s">
        <v>557</v>
      </c>
      <c r="E285" s="75" t="s">
        <v>646</v>
      </c>
      <c r="F285" s="75" t="s">
        <v>644</v>
      </c>
      <c r="G285" s="392" t="s">
        <v>438</v>
      </c>
      <c r="H285" s="388">
        <v>3</v>
      </c>
      <c r="L285" s="420">
        <v>3</v>
      </c>
      <c r="R285" s="28">
        <v>3</v>
      </c>
    </row>
    <row r="286" spans="1:24" x14ac:dyDescent="0.3">
      <c r="A286" s="353" t="s">
        <v>5</v>
      </c>
      <c r="B286" s="388" t="s">
        <v>105</v>
      </c>
      <c r="C286" s="389" t="s">
        <v>1519</v>
      </c>
      <c r="D286" s="388" t="s">
        <v>557</v>
      </c>
      <c r="E286" s="75" t="s">
        <v>647</v>
      </c>
      <c r="F286" s="75" t="s">
        <v>645</v>
      </c>
      <c r="G286" s="392" t="s">
        <v>439</v>
      </c>
      <c r="H286" s="388">
        <v>3</v>
      </c>
      <c r="L286" s="420">
        <v>3</v>
      </c>
      <c r="R286" s="28">
        <v>3</v>
      </c>
    </row>
    <row r="287" spans="1:24" x14ac:dyDescent="0.3">
      <c r="A287" s="353" t="s">
        <v>5</v>
      </c>
      <c r="B287" s="388" t="s">
        <v>105</v>
      </c>
      <c r="C287" s="389" t="s">
        <v>129</v>
      </c>
      <c r="D287" s="388" t="s">
        <v>556</v>
      </c>
      <c r="E287" s="389" t="s">
        <v>890</v>
      </c>
      <c r="F287" s="389" t="s">
        <v>130</v>
      </c>
      <c r="G287" s="392" t="s">
        <v>128</v>
      </c>
      <c r="H287" s="388">
        <v>3</v>
      </c>
      <c r="J287" s="28">
        <v>3</v>
      </c>
      <c r="P287" s="28">
        <v>3</v>
      </c>
    </row>
    <row r="288" spans="1:24" x14ac:dyDescent="0.3">
      <c r="A288" s="353" t="s">
        <v>5</v>
      </c>
      <c r="B288" s="388" t="s">
        <v>105</v>
      </c>
      <c r="C288" s="389" t="s">
        <v>129</v>
      </c>
      <c r="D288" s="388" t="s">
        <v>556</v>
      </c>
      <c r="E288" s="389" t="s">
        <v>890</v>
      </c>
      <c r="F288" s="389" t="s">
        <v>132</v>
      </c>
      <c r="G288" s="392" t="s">
        <v>131</v>
      </c>
      <c r="H288" s="388">
        <v>3</v>
      </c>
      <c r="L288" s="420">
        <v>3</v>
      </c>
      <c r="P288" s="28">
        <v>3</v>
      </c>
    </row>
    <row r="289" spans="1:24" s="74" customFormat="1" ht="13" x14ac:dyDescent="0.3">
      <c r="A289" s="74" t="s">
        <v>5</v>
      </c>
      <c r="B289" s="388" t="s">
        <v>105</v>
      </c>
      <c r="C289" s="389" t="s">
        <v>129</v>
      </c>
      <c r="D289" s="388" t="s">
        <v>556</v>
      </c>
      <c r="E289" s="389" t="s">
        <v>890</v>
      </c>
      <c r="F289" s="389" t="s">
        <v>130</v>
      </c>
      <c r="G289" s="504" t="s">
        <v>1619</v>
      </c>
      <c r="H289" s="388">
        <v>1</v>
      </c>
      <c r="I289" s="74">
        <v>1</v>
      </c>
      <c r="J289" s="74">
        <v>1</v>
      </c>
      <c r="K289" s="420">
        <v>1</v>
      </c>
      <c r="L289" s="420">
        <v>1</v>
      </c>
      <c r="N289" s="74">
        <v>1</v>
      </c>
      <c r="O289" s="74">
        <v>1</v>
      </c>
      <c r="P289" s="74">
        <v>1</v>
      </c>
      <c r="Q289" s="74">
        <v>1</v>
      </c>
      <c r="R289" s="74">
        <v>1</v>
      </c>
      <c r="S289" s="74">
        <v>1</v>
      </c>
      <c r="T289" s="74">
        <v>1</v>
      </c>
      <c r="U289" s="74">
        <v>1</v>
      </c>
      <c r="V289" s="74">
        <v>1</v>
      </c>
      <c r="X289" s="74">
        <v>1</v>
      </c>
    </row>
    <row r="290" spans="1:24" x14ac:dyDescent="0.3">
      <c r="A290" s="353" t="s">
        <v>5</v>
      </c>
      <c r="B290" s="388" t="s">
        <v>105</v>
      </c>
      <c r="C290" s="389" t="s">
        <v>129</v>
      </c>
      <c r="D290" s="388" t="s">
        <v>556</v>
      </c>
      <c r="E290" s="389" t="s">
        <v>890</v>
      </c>
      <c r="F290" s="389" t="s">
        <v>130</v>
      </c>
      <c r="G290" s="392" t="s">
        <v>664</v>
      </c>
      <c r="H290" s="388">
        <v>3</v>
      </c>
      <c r="L290" s="420">
        <v>3</v>
      </c>
      <c r="Q290" s="28">
        <v>3</v>
      </c>
      <c r="U290" s="28">
        <v>3</v>
      </c>
    </row>
    <row r="291" spans="1:24" x14ac:dyDescent="0.3">
      <c r="A291" s="353" t="s">
        <v>5</v>
      </c>
      <c r="B291" s="388" t="s">
        <v>105</v>
      </c>
      <c r="C291" s="389" t="s">
        <v>129</v>
      </c>
      <c r="D291" s="388" t="s">
        <v>556</v>
      </c>
      <c r="E291" s="389" t="s">
        <v>890</v>
      </c>
      <c r="F291" s="389" t="s">
        <v>998</v>
      </c>
      <c r="G291" s="392" t="s">
        <v>999</v>
      </c>
      <c r="H291" s="388">
        <v>3</v>
      </c>
      <c r="K291" s="420">
        <v>3</v>
      </c>
      <c r="Q291" s="28">
        <v>3</v>
      </c>
      <c r="U291" s="28">
        <v>3</v>
      </c>
    </row>
    <row r="292" spans="1:24" x14ac:dyDescent="0.3">
      <c r="A292" s="353" t="s">
        <v>5</v>
      </c>
      <c r="B292" s="388" t="s">
        <v>105</v>
      </c>
      <c r="C292" s="389" t="s">
        <v>129</v>
      </c>
      <c r="D292" s="388" t="s">
        <v>556</v>
      </c>
      <c r="E292" s="389" t="s">
        <v>890</v>
      </c>
      <c r="F292" s="389" t="s">
        <v>1489</v>
      </c>
      <c r="G292" s="392" t="s">
        <v>1488</v>
      </c>
      <c r="H292" s="388">
        <v>4</v>
      </c>
      <c r="O292" s="28">
        <v>4</v>
      </c>
      <c r="U292" s="28">
        <v>4</v>
      </c>
    </row>
    <row r="293" spans="1:24" x14ac:dyDescent="0.3">
      <c r="A293" s="353" t="s">
        <v>5</v>
      </c>
      <c r="B293" s="388" t="s">
        <v>105</v>
      </c>
      <c r="C293" s="389" t="s">
        <v>19</v>
      </c>
      <c r="D293" s="388" t="s">
        <v>556</v>
      </c>
      <c r="E293" s="389" t="s">
        <v>667</v>
      </c>
      <c r="F293" s="75" t="s">
        <v>668</v>
      </c>
      <c r="G293" s="392" t="s">
        <v>134</v>
      </c>
      <c r="H293" s="388">
        <v>4</v>
      </c>
      <c r="T293" s="28">
        <v>4</v>
      </c>
    </row>
    <row r="294" spans="1:24" x14ac:dyDescent="0.3">
      <c r="A294" s="353" t="s">
        <v>5</v>
      </c>
      <c r="B294" s="388" t="s">
        <v>105</v>
      </c>
      <c r="C294" s="389" t="s">
        <v>19</v>
      </c>
      <c r="D294" s="388" t="s">
        <v>556</v>
      </c>
      <c r="E294" s="389" t="s">
        <v>669</v>
      </c>
      <c r="F294" s="75" t="s">
        <v>670</v>
      </c>
      <c r="G294" s="392" t="s">
        <v>135</v>
      </c>
      <c r="H294" s="388">
        <v>4</v>
      </c>
      <c r="T294" s="28">
        <v>4</v>
      </c>
    </row>
    <row r="295" spans="1:24" x14ac:dyDescent="0.3">
      <c r="A295" s="74" t="s">
        <v>5</v>
      </c>
      <c r="B295" s="388" t="s">
        <v>105</v>
      </c>
      <c r="C295" s="389" t="s">
        <v>19</v>
      </c>
      <c r="D295" s="388" t="s">
        <v>556</v>
      </c>
      <c r="E295" s="389" t="s">
        <v>672</v>
      </c>
      <c r="F295" s="75" t="s">
        <v>671</v>
      </c>
      <c r="G295" s="75" t="s">
        <v>136</v>
      </c>
      <c r="H295" s="388">
        <v>4</v>
      </c>
      <c r="I295" s="74">
        <v>4</v>
      </c>
    </row>
    <row r="296" spans="1:24" x14ac:dyDescent="0.3">
      <c r="A296" s="74" t="s">
        <v>5</v>
      </c>
      <c r="B296" s="388" t="s">
        <v>105</v>
      </c>
      <c r="C296" s="389" t="s">
        <v>19</v>
      </c>
      <c r="D296" s="388" t="s">
        <v>556</v>
      </c>
      <c r="E296" s="389" t="s">
        <v>674</v>
      </c>
      <c r="F296" s="75" t="s">
        <v>673</v>
      </c>
      <c r="G296" s="75" t="s">
        <v>137</v>
      </c>
      <c r="H296" s="388">
        <v>4</v>
      </c>
      <c r="I296" s="74">
        <v>4</v>
      </c>
      <c r="O296" s="28">
        <v>4</v>
      </c>
    </row>
    <row r="297" spans="1:24" x14ac:dyDescent="0.3">
      <c r="A297" s="74" t="s">
        <v>5</v>
      </c>
      <c r="B297" s="388" t="s">
        <v>105</v>
      </c>
      <c r="C297" s="389" t="s">
        <v>19</v>
      </c>
      <c r="D297" s="388" t="s">
        <v>556</v>
      </c>
      <c r="E297" s="389" t="s">
        <v>676</v>
      </c>
      <c r="F297" s="75" t="s">
        <v>675</v>
      </c>
      <c r="G297" s="75" t="s">
        <v>138</v>
      </c>
      <c r="H297" s="388">
        <v>4</v>
      </c>
      <c r="I297" s="74">
        <v>4</v>
      </c>
    </row>
    <row r="298" spans="1:24" x14ac:dyDescent="0.3">
      <c r="A298" s="74" t="s">
        <v>5</v>
      </c>
      <c r="B298" s="388" t="s">
        <v>105</v>
      </c>
      <c r="C298" s="389" t="s">
        <v>19</v>
      </c>
      <c r="D298" s="388" t="s">
        <v>556</v>
      </c>
      <c r="E298" s="389" t="s">
        <v>677</v>
      </c>
      <c r="F298" s="75" t="s">
        <v>678</v>
      </c>
      <c r="G298" s="75" t="s">
        <v>434</v>
      </c>
      <c r="H298" s="388">
        <v>2</v>
      </c>
      <c r="I298" s="74"/>
      <c r="J298" s="28">
        <v>2</v>
      </c>
      <c r="N298" s="28">
        <v>2</v>
      </c>
      <c r="Q298" s="28">
        <v>2</v>
      </c>
      <c r="T298" s="28">
        <v>2</v>
      </c>
    </row>
    <row r="299" spans="1:24" s="74" customFormat="1" ht="13" x14ac:dyDescent="0.3">
      <c r="A299" s="74" t="s">
        <v>5</v>
      </c>
      <c r="B299" s="388" t="s">
        <v>105</v>
      </c>
      <c r="C299" s="389" t="s">
        <v>396</v>
      </c>
      <c r="D299" s="388" t="s">
        <v>556</v>
      </c>
      <c r="E299" s="389" t="s">
        <v>478</v>
      </c>
      <c r="F299" s="389" t="s">
        <v>479</v>
      </c>
      <c r="G299" s="504" t="s">
        <v>1620</v>
      </c>
      <c r="H299" s="1">
        <v>1</v>
      </c>
      <c r="I299" s="74">
        <v>1</v>
      </c>
      <c r="J299" s="74">
        <v>1</v>
      </c>
      <c r="K299" s="420">
        <v>1</v>
      </c>
      <c r="L299" s="420">
        <v>1</v>
      </c>
      <c r="N299" s="74">
        <v>1</v>
      </c>
      <c r="O299" s="74">
        <v>1</v>
      </c>
      <c r="P299" s="74">
        <v>1</v>
      </c>
      <c r="Q299" s="74">
        <v>1</v>
      </c>
      <c r="R299" s="74">
        <v>1</v>
      </c>
      <c r="S299" s="74">
        <v>1</v>
      </c>
      <c r="T299" s="74">
        <v>1</v>
      </c>
      <c r="U299" s="74">
        <v>1</v>
      </c>
      <c r="V299" s="74">
        <v>1</v>
      </c>
      <c r="W299" s="74">
        <v>1</v>
      </c>
      <c r="X299" s="74">
        <v>1</v>
      </c>
    </row>
    <row r="300" spans="1:24" x14ac:dyDescent="0.3">
      <c r="A300" s="353" t="s">
        <v>5</v>
      </c>
      <c r="B300" s="388" t="s">
        <v>105</v>
      </c>
      <c r="C300" s="389" t="s">
        <v>396</v>
      </c>
      <c r="D300" s="388" t="s">
        <v>556</v>
      </c>
      <c r="E300" s="389" t="s">
        <v>478</v>
      </c>
      <c r="F300" s="389" t="s">
        <v>397</v>
      </c>
      <c r="G300" s="392" t="s">
        <v>436</v>
      </c>
      <c r="H300" s="388">
        <v>2</v>
      </c>
      <c r="J300" s="28">
        <v>2</v>
      </c>
      <c r="N300" s="28">
        <v>2</v>
      </c>
      <c r="Q300" s="28">
        <v>2</v>
      </c>
      <c r="T300" s="28">
        <v>2</v>
      </c>
    </row>
    <row r="301" spans="1:24" x14ac:dyDescent="0.3">
      <c r="A301" s="353" t="s">
        <v>5</v>
      </c>
      <c r="B301" s="388" t="s">
        <v>105</v>
      </c>
      <c r="C301" s="389" t="s">
        <v>140</v>
      </c>
      <c r="D301" s="388" t="s">
        <v>556</v>
      </c>
      <c r="E301" s="389" t="s">
        <v>789</v>
      </c>
      <c r="F301" s="389" t="s">
        <v>141</v>
      </c>
      <c r="G301" s="392" t="s">
        <v>139</v>
      </c>
      <c r="H301" s="388">
        <v>4</v>
      </c>
    </row>
    <row r="302" spans="1:24" x14ac:dyDescent="0.3">
      <c r="A302" s="353" t="s">
        <v>5</v>
      </c>
      <c r="B302" s="388" t="s">
        <v>105</v>
      </c>
      <c r="C302" s="389" t="s">
        <v>140</v>
      </c>
      <c r="D302" s="388" t="s">
        <v>556</v>
      </c>
      <c r="E302" s="389" t="s">
        <v>480</v>
      </c>
      <c r="F302" s="389" t="s">
        <v>157</v>
      </c>
      <c r="G302" s="392" t="s">
        <v>156</v>
      </c>
      <c r="H302" s="388">
        <v>3</v>
      </c>
      <c r="P302" s="28">
        <v>3</v>
      </c>
    </row>
    <row r="303" spans="1:24" s="74" customFormat="1" ht="13" x14ac:dyDescent="0.3">
      <c r="A303" s="74" t="s">
        <v>5</v>
      </c>
      <c r="B303" s="388" t="s">
        <v>105</v>
      </c>
      <c r="C303" s="389" t="s">
        <v>140</v>
      </c>
      <c r="D303" s="388" t="s">
        <v>556</v>
      </c>
      <c r="E303" s="389" t="s">
        <v>480</v>
      </c>
      <c r="F303" s="389" t="s">
        <v>481</v>
      </c>
      <c r="G303" s="504" t="s">
        <v>1622</v>
      </c>
      <c r="H303" s="1">
        <v>1</v>
      </c>
      <c r="I303" s="74">
        <v>1</v>
      </c>
      <c r="J303" s="74">
        <v>1</v>
      </c>
      <c r="K303" s="420">
        <v>1</v>
      </c>
      <c r="L303" s="420">
        <v>1</v>
      </c>
      <c r="N303" s="74">
        <v>1</v>
      </c>
      <c r="O303" s="74">
        <v>1</v>
      </c>
      <c r="P303" s="74">
        <v>1</v>
      </c>
      <c r="Q303" s="74">
        <v>1</v>
      </c>
      <c r="R303" s="74">
        <v>1</v>
      </c>
      <c r="S303" s="74">
        <v>1</v>
      </c>
      <c r="T303" s="74">
        <v>1</v>
      </c>
      <c r="U303" s="74">
        <v>1</v>
      </c>
      <c r="V303" s="74">
        <v>1</v>
      </c>
      <c r="W303" s="74">
        <v>1</v>
      </c>
      <c r="X303" s="74">
        <v>1</v>
      </c>
    </row>
    <row r="304" spans="1:24" x14ac:dyDescent="0.3">
      <c r="A304" s="353" t="s">
        <v>5</v>
      </c>
      <c r="B304" s="388" t="s">
        <v>105</v>
      </c>
      <c r="C304" s="389" t="s">
        <v>140</v>
      </c>
      <c r="D304" s="388" t="s">
        <v>556</v>
      </c>
      <c r="E304" s="389" t="s">
        <v>891</v>
      </c>
      <c r="F304" s="389" t="s">
        <v>160</v>
      </c>
      <c r="G304" s="392" t="s">
        <v>159</v>
      </c>
      <c r="H304" s="388">
        <v>3</v>
      </c>
      <c r="J304" s="28">
        <v>3</v>
      </c>
      <c r="P304" s="28">
        <v>3</v>
      </c>
    </row>
    <row r="305" spans="1:24" x14ac:dyDescent="0.3">
      <c r="A305" s="353" t="s">
        <v>5</v>
      </c>
      <c r="B305" s="388" t="s">
        <v>105</v>
      </c>
      <c r="C305" s="389" t="s">
        <v>140</v>
      </c>
      <c r="D305" s="388" t="s">
        <v>556</v>
      </c>
      <c r="E305" s="389" t="s">
        <v>891</v>
      </c>
      <c r="F305" s="389" t="s">
        <v>160</v>
      </c>
      <c r="G305" s="392" t="s">
        <v>161</v>
      </c>
      <c r="H305" s="388">
        <v>3</v>
      </c>
      <c r="J305" s="28">
        <v>3</v>
      </c>
      <c r="P305" s="28">
        <v>3</v>
      </c>
    </row>
    <row r="306" spans="1:24" x14ac:dyDescent="0.3">
      <c r="A306" s="353" t="s">
        <v>5</v>
      </c>
      <c r="B306" s="388" t="s">
        <v>105</v>
      </c>
      <c r="C306" s="389" t="s">
        <v>140</v>
      </c>
      <c r="D306" s="388" t="s">
        <v>556</v>
      </c>
      <c r="E306" s="389" t="s">
        <v>892</v>
      </c>
      <c r="F306" s="389" t="s">
        <v>30</v>
      </c>
      <c r="G306" s="392" t="s">
        <v>142</v>
      </c>
      <c r="H306" s="388">
        <v>4</v>
      </c>
      <c r="R306" s="28">
        <v>4</v>
      </c>
    </row>
    <row r="307" spans="1:24" x14ac:dyDescent="0.3">
      <c r="A307" s="353" t="s">
        <v>5</v>
      </c>
      <c r="B307" s="388" t="s">
        <v>105</v>
      </c>
      <c r="C307" s="389" t="s">
        <v>140</v>
      </c>
      <c r="D307" s="388" t="s">
        <v>556</v>
      </c>
      <c r="E307" s="389" t="s">
        <v>892</v>
      </c>
      <c r="F307" s="389" t="s">
        <v>30</v>
      </c>
      <c r="G307" s="392" t="s">
        <v>143</v>
      </c>
      <c r="H307" s="388">
        <v>4</v>
      </c>
      <c r="R307" s="28">
        <v>4</v>
      </c>
    </row>
    <row r="308" spans="1:24" x14ac:dyDescent="0.3">
      <c r="A308" s="353" t="s">
        <v>5</v>
      </c>
      <c r="B308" s="388" t="s">
        <v>105</v>
      </c>
      <c r="C308" s="389" t="s">
        <v>140</v>
      </c>
      <c r="D308" s="388" t="s">
        <v>556</v>
      </c>
      <c r="E308" s="389" t="s">
        <v>893</v>
      </c>
      <c r="F308" s="389" t="s">
        <v>145</v>
      </c>
      <c r="G308" s="392" t="s">
        <v>144</v>
      </c>
      <c r="H308" s="388">
        <v>4</v>
      </c>
      <c r="O308" s="28">
        <v>4</v>
      </c>
    </row>
    <row r="309" spans="1:24" x14ac:dyDescent="0.3">
      <c r="A309" s="353" t="s">
        <v>5</v>
      </c>
      <c r="B309" s="388" t="s">
        <v>105</v>
      </c>
      <c r="C309" s="389" t="s">
        <v>140</v>
      </c>
      <c r="D309" s="388" t="s">
        <v>556</v>
      </c>
      <c r="E309" s="389" t="s">
        <v>894</v>
      </c>
      <c r="F309" s="389" t="s">
        <v>147</v>
      </c>
      <c r="G309" s="392" t="s">
        <v>146</v>
      </c>
      <c r="H309" s="388">
        <v>4</v>
      </c>
      <c r="N309" s="28">
        <v>4</v>
      </c>
    </row>
    <row r="310" spans="1:24" x14ac:dyDescent="0.3">
      <c r="A310" s="353" t="s">
        <v>5</v>
      </c>
      <c r="B310" s="388" t="s">
        <v>105</v>
      </c>
      <c r="C310" s="389" t="s">
        <v>140</v>
      </c>
      <c r="D310" s="388" t="s">
        <v>556</v>
      </c>
      <c r="E310" s="389" t="s">
        <v>895</v>
      </c>
      <c r="F310" s="389" t="s">
        <v>149</v>
      </c>
      <c r="G310" s="392" t="s">
        <v>148</v>
      </c>
      <c r="H310" s="388">
        <v>4</v>
      </c>
      <c r="T310" s="28">
        <v>4</v>
      </c>
    </row>
    <row r="311" spans="1:24" x14ac:dyDescent="0.3">
      <c r="A311" s="353" t="s">
        <v>5</v>
      </c>
      <c r="B311" s="388" t="s">
        <v>105</v>
      </c>
      <c r="C311" s="389" t="s">
        <v>140</v>
      </c>
      <c r="D311" s="388" t="s">
        <v>556</v>
      </c>
      <c r="E311" s="389" t="s">
        <v>896</v>
      </c>
      <c r="F311" s="389" t="s">
        <v>151</v>
      </c>
      <c r="G311" s="392" t="s">
        <v>150</v>
      </c>
      <c r="H311" s="388">
        <v>4</v>
      </c>
    </row>
    <row r="312" spans="1:24" x14ac:dyDescent="0.3">
      <c r="A312" s="353" t="s">
        <v>5</v>
      </c>
      <c r="B312" s="388" t="s">
        <v>105</v>
      </c>
      <c r="C312" s="389" t="s">
        <v>140</v>
      </c>
      <c r="D312" s="388" t="s">
        <v>556</v>
      </c>
      <c r="E312" s="389" t="s">
        <v>897</v>
      </c>
      <c r="F312" s="389" t="s">
        <v>153</v>
      </c>
      <c r="G312" s="392" t="s">
        <v>152</v>
      </c>
      <c r="H312" s="388">
        <v>4</v>
      </c>
      <c r="O312" s="28">
        <v>4</v>
      </c>
    </row>
    <row r="313" spans="1:24" x14ac:dyDescent="0.3">
      <c r="A313" s="353" t="s">
        <v>5</v>
      </c>
      <c r="B313" s="388" t="s">
        <v>105</v>
      </c>
      <c r="C313" s="389" t="s">
        <v>140</v>
      </c>
      <c r="D313" s="388" t="s">
        <v>556</v>
      </c>
      <c r="E313" s="389" t="s">
        <v>789</v>
      </c>
      <c r="F313" s="389" t="s">
        <v>155</v>
      </c>
      <c r="G313" s="392" t="s">
        <v>154</v>
      </c>
      <c r="H313" s="388">
        <v>4</v>
      </c>
    </row>
    <row r="314" spans="1:24" s="74" customFormat="1" ht="13" x14ac:dyDescent="0.3">
      <c r="A314" s="74" t="s">
        <v>5</v>
      </c>
      <c r="B314" s="388" t="s">
        <v>76</v>
      </c>
      <c r="C314" s="389" t="s">
        <v>404</v>
      </c>
      <c r="D314" s="388" t="s">
        <v>555</v>
      </c>
      <c r="E314" s="389" t="s">
        <v>489</v>
      </c>
      <c r="F314" s="389" t="s">
        <v>490</v>
      </c>
      <c r="G314" s="507" t="s">
        <v>1621</v>
      </c>
      <c r="H314" s="1">
        <v>1</v>
      </c>
      <c r="I314" s="74">
        <v>1</v>
      </c>
      <c r="J314" s="74">
        <v>1</v>
      </c>
      <c r="K314" s="420">
        <v>1</v>
      </c>
      <c r="L314" s="420">
        <v>1</v>
      </c>
      <c r="N314" s="74">
        <v>1</v>
      </c>
      <c r="O314" s="74">
        <v>1</v>
      </c>
      <c r="P314" s="74">
        <v>1</v>
      </c>
      <c r="Q314" s="74">
        <v>1</v>
      </c>
      <c r="R314" s="74">
        <v>1</v>
      </c>
      <c r="S314" s="74">
        <v>1</v>
      </c>
      <c r="T314" s="74">
        <v>1</v>
      </c>
      <c r="U314" s="74">
        <v>1</v>
      </c>
      <c r="V314" s="74">
        <v>1</v>
      </c>
    </row>
    <row r="315" spans="1:24" x14ac:dyDescent="0.3">
      <c r="A315" s="353" t="s">
        <v>5</v>
      </c>
      <c r="B315" s="388" t="s">
        <v>76</v>
      </c>
      <c r="C315" s="389" t="s">
        <v>404</v>
      </c>
      <c r="D315" s="388" t="s">
        <v>555</v>
      </c>
      <c r="E315" s="389" t="s">
        <v>713</v>
      </c>
      <c r="F315" s="75" t="s">
        <v>714</v>
      </c>
      <c r="G315" s="392" t="s">
        <v>175</v>
      </c>
      <c r="H315" s="388">
        <v>3</v>
      </c>
      <c r="N315" s="28">
        <v>3</v>
      </c>
      <c r="T315" s="28">
        <v>3</v>
      </c>
    </row>
    <row r="316" spans="1:24" x14ac:dyDescent="0.3">
      <c r="A316" s="353" t="s">
        <v>5</v>
      </c>
      <c r="B316" s="388" t="s">
        <v>76</v>
      </c>
      <c r="C316" s="389" t="s">
        <v>404</v>
      </c>
      <c r="D316" s="388" t="s">
        <v>555</v>
      </c>
      <c r="E316" s="389" t="s">
        <v>726</v>
      </c>
      <c r="F316" s="75" t="s">
        <v>725</v>
      </c>
      <c r="G316" s="392" t="s">
        <v>176</v>
      </c>
      <c r="H316" s="388">
        <v>3</v>
      </c>
      <c r="T316" s="28">
        <v>3</v>
      </c>
    </row>
    <row r="317" spans="1:24" s="74" customFormat="1" ht="13" x14ac:dyDescent="0.3">
      <c r="A317" s="74" t="s">
        <v>5</v>
      </c>
      <c r="B317" s="388" t="s">
        <v>105</v>
      </c>
      <c r="C317" s="389" t="s">
        <v>140</v>
      </c>
      <c r="D317" s="388" t="s">
        <v>556</v>
      </c>
      <c r="E317" s="389" t="s">
        <v>480</v>
      </c>
      <c r="F317" s="389" t="s">
        <v>481</v>
      </c>
      <c r="G317" s="504" t="s">
        <v>1623</v>
      </c>
      <c r="H317" s="74">
        <v>1</v>
      </c>
      <c r="I317" s="74">
        <v>1</v>
      </c>
      <c r="J317" s="74">
        <v>1</v>
      </c>
      <c r="K317" s="420">
        <v>1</v>
      </c>
      <c r="L317" s="420">
        <v>1</v>
      </c>
      <c r="N317" s="74">
        <v>1</v>
      </c>
      <c r="O317" s="74">
        <v>1</v>
      </c>
      <c r="P317" s="74">
        <v>1</v>
      </c>
      <c r="Q317" s="74">
        <v>1</v>
      </c>
      <c r="R317" s="74">
        <v>1</v>
      </c>
      <c r="S317" s="74">
        <v>1</v>
      </c>
      <c r="T317" s="74">
        <v>1</v>
      </c>
      <c r="U317" s="74">
        <v>1</v>
      </c>
      <c r="V317" s="74">
        <v>1</v>
      </c>
      <c r="W317" s="74">
        <v>1</v>
      </c>
      <c r="X317" s="74">
        <v>1</v>
      </c>
    </row>
  </sheetData>
  <autoFilter ref="A1:X317" xr:uid="{00000000-0009-0000-0000-000002000000}"/>
  <dataConsolidate function="count" link="1">
    <dataRefs count="1">
      <dataRef ref="P3:AS289" sheet="BASE AA" r:id="rId1"/>
    </dataRefs>
  </dataConsolidate>
  <conditionalFormatting sqref="G274">
    <cfRule type="duplicateValues" dxfId="49" priority="7"/>
  </conditionalFormatting>
  <conditionalFormatting sqref="G282">
    <cfRule type="duplicateValues" dxfId="48" priority="6"/>
  </conditionalFormatting>
  <conditionalFormatting sqref="G283">
    <cfRule type="duplicateValues" dxfId="47" priority="5"/>
  </conditionalFormatting>
  <conditionalFormatting sqref="G289">
    <cfRule type="duplicateValues" dxfId="46" priority="4"/>
  </conditionalFormatting>
  <conditionalFormatting sqref="G299">
    <cfRule type="duplicateValues" dxfId="45" priority="3"/>
  </conditionalFormatting>
  <conditionalFormatting sqref="G303">
    <cfRule type="duplicateValues" dxfId="44" priority="2"/>
  </conditionalFormatting>
  <conditionalFormatting sqref="G317">
    <cfRule type="duplicateValues" dxfId="43" priority="1"/>
  </conditionalFormatting>
  <pageMargins left="0.23622047244094491" right="0.23622047244094491" top="0.74803149606299213" bottom="0.74803149606299213" header="0.31496062992125984" footer="0.31496062992125984"/>
  <pageSetup paperSize="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70"/>
  <sheetViews>
    <sheetView topLeftCell="A136" workbookViewId="0">
      <selection activeCell="R125" sqref="R125"/>
    </sheetView>
  </sheetViews>
  <sheetFormatPr baseColWidth="10" defaultColWidth="10.81640625" defaultRowHeight="14.5" x14ac:dyDescent="0.35"/>
  <cols>
    <col min="1" max="1" width="6.81640625" bestFit="1" customWidth="1"/>
    <col min="2" max="2" width="11.1796875" bestFit="1" customWidth="1"/>
    <col min="3" max="3" width="1.54296875" bestFit="1" customWidth="1"/>
    <col min="4" max="4" width="5" bestFit="1" customWidth="1"/>
    <col min="5" max="5" width="5.453125" bestFit="1" customWidth="1"/>
    <col min="6" max="6" width="5" bestFit="1" customWidth="1"/>
    <col min="7" max="7" width="4.453125" bestFit="1" customWidth="1"/>
    <col min="8" max="8" width="6.453125" bestFit="1" customWidth="1"/>
    <col min="9" max="9" width="10.26953125" bestFit="1" customWidth="1"/>
    <col min="10" max="10" width="7.26953125" bestFit="1" customWidth="1"/>
    <col min="11" max="11" width="9.81640625" bestFit="1" customWidth="1"/>
    <col min="12" max="12" width="9.1796875" bestFit="1" customWidth="1"/>
    <col min="13" max="13" width="5.7265625" bestFit="1" customWidth="1"/>
    <col min="14" max="14" width="7.1796875" bestFit="1" customWidth="1"/>
    <col min="15" max="15" width="6.1796875" bestFit="1" customWidth="1"/>
  </cols>
  <sheetData>
    <row r="1" spans="1:15" x14ac:dyDescent="0.35">
      <c r="A1" s="174"/>
      <c r="B1" s="636" t="s">
        <v>1418</v>
      </c>
      <c r="C1" s="636"/>
      <c r="D1" s="125" t="s">
        <v>1405</v>
      </c>
      <c r="E1" s="125" t="s">
        <v>1406</v>
      </c>
      <c r="F1" s="125" t="s">
        <v>1407</v>
      </c>
      <c r="G1" s="125" t="s">
        <v>1408</v>
      </c>
      <c r="H1" s="125" t="s">
        <v>1409</v>
      </c>
      <c r="I1" s="125" t="s">
        <v>1410</v>
      </c>
      <c r="J1" s="125" t="s">
        <v>1411</v>
      </c>
      <c r="K1" s="125" t="s">
        <v>1412</v>
      </c>
      <c r="L1" s="125" t="s">
        <v>1413</v>
      </c>
      <c r="M1" s="125" t="s">
        <v>1414</v>
      </c>
      <c r="N1" s="125" t="s">
        <v>1415</v>
      </c>
      <c r="O1" s="175" t="s">
        <v>1416</v>
      </c>
    </row>
    <row r="2" spans="1:15" x14ac:dyDescent="0.35">
      <c r="A2" s="634" t="s">
        <v>1000</v>
      </c>
      <c r="B2" s="85" t="s">
        <v>71</v>
      </c>
      <c r="C2" s="168">
        <v>2</v>
      </c>
      <c r="D2" s="178" t="s">
        <v>1417</v>
      </c>
      <c r="E2" s="107"/>
      <c r="F2" s="107"/>
      <c r="G2" s="178" t="s">
        <v>1417</v>
      </c>
      <c r="H2" s="107"/>
      <c r="I2" s="107"/>
      <c r="J2" s="178" t="s">
        <v>1417</v>
      </c>
      <c r="K2" s="107"/>
      <c r="L2" s="107"/>
      <c r="M2" s="178" t="s">
        <v>1417</v>
      </c>
      <c r="N2" s="107"/>
      <c r="O2" s="179"/>
    </row>
    <row r="3" spans="1:15" x14ac:dyDescent="0.35">
      <c r="A3" s="634"/>
      <c r="B3" s="85" t="s">
        <v>72</v>
      </c>
      <c r="C3" s="168">
        <v>2</v>
      </c>
      <c r="D3" s="178" t="s">
        <v>1417</v>
      </c>
      <c r="E3" s="107"/>
      <c r="F3" s="107"/>
      <c r="G3" s="178" t="s">
        <v>1417</v>
      </c>
      <c r="H3" s="107"/>
      <c r="I3" s="107"/>
      <c r="J3" s="178" t="s">
        <v>1417</v>
      </c>
      <c r="K3" s="107"/>
      <c r="L3" s="107"/>
      <c r="M3" s="178" t="s">
        <v>1417</v>
      </c>
      <c r="N3" s="107"/>
      <c r="O3" s="179"/>
    </row>
    <row r="4" spans="1:15" x14ac:dyDescent="0.35">
      <c r="A4" s="634"/>
      <c r="B4" s="85" t="s">
        <v>73</v>
      </c>
      <c r="C4" s="168">
        <v>2</v>
      </c>
      <c r="D4" s="178" t="s">
        <v>1417</v>
      </c>
      <c r="E4" s="107"/>
      <c r="F4" s="107"/>
      <c r="G4" s="178" t="s">
        <v>1417</v>
      </c>
      <c r="H4" s="107"/>
      <c r="I4" s="107"/>
      <c r="J4" s="178" t="s">
        <v>1417</v>
      </c>
      <c r="K4" s="107"/>
      <c r="L4" s="107"/>
      <c r="M4" s="178" t="s">
        <v>1417</v>
      </c>
      <c r="N4" s="107"/>
      <c r="O4" s="179"/>
    </row>
    <row r="5" spans="1:15" x14ac:dyDescent="0.35">
      <c r="A5" s="634"/>
      <c r="B5" s="85" t="s">
        <v>74</v>
      </c>
      <c r="C5" s="168">
        <v>2</v>
      </c>
      <c r="D5" s="178" t="s">
        <v>1417</v>
      </c>
      <c r="E5" s="107"/>
      <c r="F5" s="107"/>
      <c r="G5" s="178" t="s">
        <v>1417</v>
      </c>
      <c r="H5" s="107"/>
      <c r="I5" s="107"/>
      <c r="J5" s="178" t="s">
        <v>1417</v>
      </c>
      <c r="K5" s="107"/>
      <c r="L5" s="107"/>
      <c r="M5" s="178" t="s">
        <v>1417</v>
      </c>
      <c r="N5" s="107"/>
      <c r="O5" s="179"/>
    </row>
    <row r="6" spans="1:15" x14ac:dyDescent="0.35">
      <c r="A6" s="634"/>
      <c r="B6" s="85" t="s">
        <v>974</v>
      </c>
      <c r="C6" s="169">
        <v>2</v>
      </c>
      <c r="D6" s="107"/>
      <c r="E6" s="107"/>
      <c r="F6" s="178" t="s">
        <v>1417</v>
      </c>
      <c r="G6" s="107"/>
      <c r="H6" s="107"/>
      <c r="I6" s="178" t="s">
        <v>1417</v>
      </c>
      <c r="J6" s="107"/>
      <c r="K6" s="107"/>
      <c r="L6" s="178" t="s">
        <v>1417</v>
      </c>
      <c r="M6" s="107"/>
      <c r="N6" s="107"/>
      <c r="O6" s="180" t="s">
        <v>1417</v>
      </c>
    </row>
    <row r="7" spans="1:15" x14ac:dyDescent="0.35">
      <c r="A7" s="634"/>
      <c r="B7" s="170" t="s">
        <v>294</v>
      </c>
      <c r="C7" s="171">
        <v>2</v>
      </c>
      <c r="D7" s="178" t="s">
        <v>1417</v>
      </c>
      <c r="E7" s="107"/>
      <c r="F7" s="107"/>
      <c r="G7" s="178" t="s">
        <v>1417</v>
      </c>
      <c r="H7" s="107"/>
      <c r="I7" s="107"/>
      <c r="J7" s="178" t="s">
        <v>1417</v>
      </c>
      <c r="K7" s="107"/>
      <c r="L7" s="107"/>
      <c r="M7" s="178" t="s">
        <v>1417</v>
      </c>
      <c r="N7" s="107"/>
      <c r="O7" s="179"/>
    </row>
    <row r="8" spans="1:15" x14ac:dyDescent="0.35">
      <c r="A8" s="634"/>
      <c r="B8" s="170" t="s">
        <v>304</v>
      </c>
      <c r="C8" s="172">
        <v>2</v>
      </c>
      <c r="D8" s="107"/>
      <c r="E8" s="178" t="s">
        <v>1417</v>
      </c>
      <c r="F8" s="107"/>
      <c r="G8" s="107"/>
      <c r="H8" s="178" t="s">
        <v>1417</v>
      </c>
      <c r="I8" s="107"/>
      <c r="J8" s="107"/>
      <c r="K8" s="178" t="s">
        <v>1417</v>
      </c>
      <c r="L8" s="107"/>
      <c r="M8" s="107"/>
      <c r="N8" s="178" t="s">
        <v>1417</v>
      </c>
      <c r="O8" s="179"/>
    </row>
    <row r="9" spans="1:15" x14ac:dyDescent="0.35">
      <c r="A9" s="634"/>
      <c r="B9" s="170" t="s">
        <v>305</v>
      </c>
      <c r="C9" s="172">
        <v>2</v>
      </c>
      <c r="D9" s="107"/>
      <c r="E9" s="178" t="s">
        <v>1417</v>
      </c>
      <c r="F9" s="107"/>
      <c r="G9" s="107"/>
      <c r="H9" s="178" t="s">
        <v>1417</v>
      </c>
      <c r="I9" s="107"/>
      <c r="J9" s="107"/>
      <c r="K9" s="178" t="s">
        <v>1417</v>
      </c>
      <c r="L9" s="107"/>
      <c r="M9" s="107"/>
      <c r="N9" s="178" t="s">
        <v>1417</v>
      </c>
      <c r="O9" s="179"/>
    </row>
    <row r="10" spans="1:15" x14ac:dyDescent="0.35">
      <c r="A10" s="634"/>
      <c r="B10" s="170" t="s">
        <v>310</v>
      </c>
      <c r="C10" s="172">
        <v>2</v>
      </c>
      <c r="D10" s="107"/>
      <c r="E10" s="178" t="s">
        <v>1417</v>
      </c>
      <c r="F10" s="107"/>
      <c r="G10" s="107"/>
      <c r="H10" s="178" t="s">
        <v>1417</v>
      </c>
      <c r="I10" s="107"/>
      <c r="J10" s="107"/>
      <c r="K10" s="178" t="s">
        <v>1417</v>
      </c>
      <c r="L10" s="107"/>
      <c r="M10" s="107"/>
      <c r="N10" s="178" t="s">
        <v>1417</v>
      </c>
      <c r="O10" s="179"/>
    </row>
    <row r="11" spans="1:15" x14ac:dyDescent="0.35">
      <c r="A11" s="634"/>
      <c r="B11" s="170" t="s">
        <v>311</v>
      </c>
      <c r="C11" s="172">
        <v>2</v>
      </c>
      <c r="D11" s="107"/>
      <c r="E11" s="178" t="s">
        <v>1417</v>
      </c>
      <c r="F11" s="107"/>
      <c r="G11" s="107"/>
      <c r="H11" s="178" t="s">
        <v>1417</v>
      </c>
      <c r="I11" s="107"/>
      <c r="J11" s="107"/>
      <c r="K11" s="178" t="s">
        <v>1417</v>
      </c>
      <c r="L11" s="107"/>
      <c r="M11" s="107"/>
      <c r="N11" s="178" t="s">
        <v>1417</v>
      </c>
      <c r="O11" s="179"/>
    </row>
    <row r="12" spans="1:15" x14ac:dyDescent="0.35">
      <c r="A12" s="634"/>
      <c r="B12" s="170" t="s">
        <v>312</v>
      </c>
      <c r="C12" s="172">
        <v>2</v>
      </c>
      <c r="D12" s="107"/>
      <c r="E12" s="107"/>
      <c r="F12" s="178" t="s">
        <v>1417</v>
      </c>
      <c r="G12" s="107"/>
      <c r="H12" s="107"/>
      <c r="I12" s="178" t="s">
        <v>1417</v>
      </c>
      <c r="J12" s="107"/>
      <c r="K12" s="107"/>
      <c r="L12" s="178" t="s">
        <v>1417</v>
      </c>
      <c r="M12" s="107"/>
      <c r="N12" s="107"/>
      <c r="O12" s="180" t="s">
        <v>1417</v>
      </c>
    </row>
    <row r="13" spans="1:15" x14ac:dyDescent="0.35">
      <c r="A13" s="634"/>
      <c r="B13" s="170" t="s">
        <v>297</v>
      </c>
      <c r="C13" s="172">
        <v>2</v>
      </c>
      <c r="D13" s="107"/>
      <c r="E13" s="107"/>
      <c r="F13" s="178" t="s">
        <v>1417</v>
      </c>
      <c r="G13" s="107"/>
      <c r="H13" s="107"/>
      <c r="I13" s="178" t="s">
        <v>1417</v>
      </c>
      <c r="J13" s="107"/>
      <c r="K13" s="107"/>
      <c r="L13" s="178" t="s">
        <v>1417</v>
      </c>
      <c r="M13" s="107"/>
      <c r="N13" s="107"/>
      <c r="O13" s="180" t="s">
        <v>1417</v>
      </c>
    </row>
    <row r="14" spans="1:15" x14ac:dyDescent="0.35">
      <c r="A14" s="634"/>
      <c r="B14" s="170" t="s">
        <v>300</v>
      </c>
      <c r="C14" s="172">
        <v>2</v>
      </c>
      <c r="D14" s="107"/>
      <c r="E14" s="107"/>
      <c r="F14" s="178" t="s">
        <v>1417</v>
      </c>
      <c r="G14" s="107"/>
      <c r="H14" s="107"/>
      <c r="I14" s="178" t="s">
        <v>1417</v>
      </c>
      <c r="J14" s="107"/>
      <c r="K14" s="107"/>
      <c r="L14" s="178" t="s">
        <v>1417</v>
      </c>
      <c r="M14" s="107"/>
      <c r="N14" s="107"/>
      <c r="O14" s="180" t="s">
        <v>1417</v>
      </c>
    </row>
    <row r="15" spans="1:15" x14ac:dyDescent="0.35">
      <c r="A15" s="634"/>
      <c r="B15" s="170" t="s">
        <v>301</v>
      </c>
      <c r="C15" s="172">
        <v>2</v>
      </c>
      <c r="D15" s="107"/>
      <c r="E15" s="107"/>
      <c r="F15" s="178" t="s">
        <v>1417</v>
      </c>
      <c r="G15" s="107"/>
      <c r="H15" s="107"/>
      <c r="I15" s="178" t="s">
        <v>1417</v>
      </c>
      <c r="J15" s="107"/>
      <c r="K15" s="107"/>
      <c r="L15" s="178" t="s">
        <v>1417</v>
      </c>
      <c r="M15" s="107"/>
      <c r="N15" s="107"/>
      <c r="O15" s="180" t="s">
        <v>1417</v>
      </c>
    </row>
    <row r="16" spans="1:15" x14ac:dyDescent="0.35">
      <c r="A16" s="634"/>
      <c r="B16" s="170" t="s">
        <v>302</v>
      </c>
      <c r="C16" s="172">
        <v>2</v>
      </c>
      <c r="D16" s="107"/>
      <c r="E16" s="107"/>
      <c r="F16" s="178" t="s">
        <v>1417</v>
      </c>
      <c r="G16" s="107"/>
      <c r="H16" s="107"/>
      <c r="I16" s="178" t="s">
        <v>1417</v>
      </c>
      <c r="J16" s="107"/>
      <c r="K16" s="107"/>
      <c r="L16" s="178" t="s">
        <v>1417</v>
      </c>
      <c r="M16" s="107"/>
      <c r="N16" s="107"/>
      <c r="O16" s="180" t="s">
        <v>1417</v>
      </c>
    </row>
    <row r="17" spans="1:15" x14ac:dyDescent="0.35">
      <c r="A17" s="634"/>
      <c r="B17" s="170" t="s">
        <v>303</v>
      </c>
      <c r="C17" s="172">
        <v>2</v>
      </c>
      <c r="D17" s="107"/>
      <c r="E17" s="107"/>
      <c r="F17" s="178" t="s">
        <v>1417</v>
      </c>
      <c r="G17" s="107"/>
      <c r="H17" s="107"/>
      <c r="I17" s="178" t="s">
        <v>1417</v>
      </c>
      <c r="J17" s="107"/>
      <c r="K17" s="107"/>
      <c r="L17" s="178" t="s">
        <v>1417</v>
      </c>
      <c r="M17" s="107"/>
      <c r="N17" s="107"/>
      <c r="O17" s="180" t="s">
        <v>1417</v>
      </c>
    </row>
    <row r="18" spans="1:15" x14ac:dyDescent="0.35">
      <c r="A18" s="634"/>
      <c r="B18" s="170" t="s">
        <v>236</v>
      </c>
      <c r="C18" s="169">
        <v>2</v>
      </c>
      <c r="D18" s="178" t="s">
        <v>1417</v>
      </c>
      <c r="E18" s="107"/>
      <c r="F18" s="107"/>
      <c r="G18" s="178" t="s">
        <v>1417</v>
      </c>
      <c r="H18" s="107"/>
      <c r="I18" s="107"/>
      <c r="J18" s="178" t="s">
        <v>1417</v>
      </c>
      <c r="K18" s="107"/>
      <c r="L18" s="107"/>
      <c r="M18" s="178" t="s">
        <v>1417</v>
      </c>
      <c r="N18" s="107"/>
      <c r="O18" s="179"/>
    </row>
    <row r="19" spans="1:15" x14ac:dyDescent="0.35">
      <c r="A19" s="634"/>
      <c r="B19" s="170" t="s">
        <v>282</v>
      </c>
      <c r="C19" s="169">
        <v>2</v>
      </c>
      <c r="D19" s="178" t="s">
        <v>1417</v>
      </c>
      <c r="E19" s="107"/>
      <c r="F19" s="107"/>
      <c r="G19" s="178" t="s">
        <v>1417</v>
      </c>
      <c r="H19" s="107"/>
      <c r="I19" s="107"/>
      <c r="J19" s="178" t="s">
        <v>1417</v>
      </c>
      <c r="K19" s="107"/>
      <c r="L19" s="107"/>
      <c r="M19" s="178" t="s">
        <v>1417</v>
      </c>
      <c r="N19" s="107"/>
      <c r="O19" s="179"/>
    </row>
    <row r="20" spans="1:15" x14ac:dyDescent="0.35">
      <c r="A20" s="634"/>
      <c r="B20" s="170" t="s">
        <v>284</v>
      </c>
      <c r="C20" s="169">
        <v>2</v>
      </c>
      <c r="D20" s="178" t="s">
        <v>1417</v>
      </c>
      <c r="E20" s="107"/>
      <c r="F20" s="107"/>
      <c r="G20" s="178" t="s">
        <v>1417</v>
      </c>
      <c r="H20" s="107"/>
      <c r="I20" s="107"/>
      <c r="J20" s="178" t="s">
        <v>1417</v>
      </c>
      <c r="K20" s="107"/>
      <c r="L20" s="107"/>
      <c r="M20" s="178" t="s">
        <v>1417</v>
      </c>
      <c r="N20" s="107"/>
      <c r="O20" s="179"/>
    </row>
    <row r="21" spans="1:15" x14ac:dyDescent="0.35">
      <c r="A21" s="634"/>
      <c r="B21" s="170" t="s">
        <v>964</v>
      </c>
      <c r="C21" s="169">
        <v>2</v>
      </c>
      <c r="D21" s="178" t="s">
        <v>1417</v>
      </c>
      <c r="E21" s="107"/>
      <c r="F21" s="107"/>
      <c r="G21" s="178" t="s">
        <v>1417</v>
      </c>
      <c r="H21" s="107"/>
      <c r="I21" s="107"/>
      <c r="J21" s="178" t="s">
        <v>1417</v>
      </c>
      <c r="K21" s="107"/>
      <c r="L21" s="107"/>
      <c r="M21" s="178" t="s">
        <v>1417</v>
      </c>
      <c r="N21" s="107"/>
      <c r="O21" s="179"/>
    </row>
    <row r="22" spans="1:15" x14ac:dyDescent="0.35">
      <c r="A22" s="634"/>
      <c r="B22" s="170" t="s">
        <v>337</v>
      </c>
      <c r="C22" s="171">
        <v>2</v>
      </c>
      <c r="D22" s="107"/>
      <c r="E22" s="178" t="s">
        <v>1417</v>
      </c>
      <c r="F22" s="107"/>
      <c r="G22" s="107"/>
      <c r="H22" s="178" t="s">
        <v>1417</v>
      </c>
      <c r="I22" s="107"/>
      <c r="J22" s="107"/>
      <c r="K22" s="178" t="s">
        <v>1417</v>
      </c>
      <c r="L22" s="107"/>
      <c r="M22" s="107"/>
      <c r="N22" s="178" t="s">
        <v>1417</v>
      </c>
      <c r="O22" s="179"/>
    </row>
    <row r="23" spans="1:15" x14ac:dyDescent="0.35">
      <c r="A23" s="634"/>
      <c r="B23" s="85" t="s">
        <v>560</v>
      </c>
      <c r="C23" s="169">
        <v>2</v>
      </c>
      <c r="D23" s="107"/>
      <c r="E23" s="107"/>
      <c r="F23" s="178" t="s">
        <v>1417</v>
      </c>
      <c r="G23" s="107"/>
      <c r="H23" s="107"/>
      <c r="I23" s="178" t="s">
        <v>1417</v>
      </c>
      <c r="J23" s="107"/>
      <c r="K23" s="107"/>
      <c r="L23" s="178" t="s">
        <v>1417</v>
      </c>
      <c r="M23" s="107"/>
      <c r="N23" s="107"/>
      <c r="O23" s="180" t="s">
        <v>1417</v>
      </c>
    </row>
    <row r="24" spans="1:15" x14ac:dyDescent="0.35">
      <c r="A24" s="634"/>
      <c r="B24" s="85" t="s">
        <v>422</v>
      </c>
      <c r="C24" s="169">
        <v>2</v>
      </c>
      <c r="D24" s="107"/>
      <c r="E24" s="178" t="s">
        <v>1417</v>
      </c>
      <c r="F24" s="107"/>
      <c r="G24" s="107"/>
      <c r="H24" s="178" t="s">
        <v>1417</v>
      </c>
      <c r="I24" s="107"/>
      <c r="J24" s="107"/>
      <c r="K24" s="178" t="s">
        <v>1417</v>
      </c>
      <c r="L24" s="107"/>
      <c r="M24" s="107"/>
      <c r="N24" s="178" t="s">
        <v>1417</v>
      </c>
      <c r="O24" s="179"/>
    </row>
    <row r="25" spans="1:15" x14ac:dyDescent="0.35">
      <c r="A25" s="634"/>
      <c r="B25" s="85" t="s">
        <v>457</v>
      </c>
      <c r="C25" s="173">
        <v>2</v>
      </c>
      <c r="D25" s="107"/>
      <c r="E25" s="178" t="s">
        <v>1417</v>
      </c>
      <c r="F25" s="107"/>
      <c r="G25" s="107"/>
      <c r="H25" s="178" t="s">
        <v>1417</v>
      </c>
      <c r="I25" s="107"/>
      <c r="J25" s="107"/>
      <c r="K25" s="178" t="s">
        <v>1417</v>
      </c>
      <c r="L25" s="107"/>
      <c r="M25" s="107"/>
      <c r="N25" s="178" t="s">
        <v>1417</v>
      </c>
      <c r="O25" s="179"/>
    </row>
    <row r="26" spans="1:15" x14ac:dyDescent="0.35">
      <c r="A26" s="634"/>
      <c r="B26" s="85" t="s">
        <v>434</v>
      </c>
      <c r="C26" s="169">
        <v>2</v>
      </c>
      <c r="D26" s="107"/>
      <c r="E26" s="178" t="s">
        <v>1417</v>
      </c>
      <c r="F26" s="107"/>
      <c r="G26" s="107"/>
      <c r="H26" s="178" t="s">
        <v>1417</v>
      </c>
      <c r="I26" s="107"/>
      <c r="J26" s="107"/>
      <c r="K26" s="178" t="s">
        <v>1417</v>
      </c>
      <c r="L26" s="107"/>
      <c r="M26" s="107"/>
      <c r="N26" s="178" t="s">
        <v>1417</v>
      </c>
      <c r="O26" s="179"/>
    </row>
    <row r="27" spans="1:15" ht="15" thickBot="1" x14ac:dyDescent="0.4">
      <c r="A27" s="635"/>
      <c r="B27" s="176" t="s">
        <v>436</v>
      </c>
      <c r="C27" s="177">
        <v>2</v>
      </c>
      <c r="D27" s="181"/>
      <c r="E27" s="182" t="s">
        <v>1417</v>
      </c>
      <c r="F27" s="181"/>
      <c r="G27" s="181"/>
      <c r="H27" s="182" t="s">
        <v>1417</v>
      </c>
      <c r="I27" s="181"/>
      <c r="J27" s="181"/>
      <c r="K27" s="182" t="s">
        <v>1417</v>
      </c>
      <c r="L27" s="181"/>
      <c r="M27" s="181"/>
      <c r="N27" s="182" t="s">
        <v>1417</v>
      </c>
      <c r="O27" s="183"/>
    </row>
    <row r="29" spans="1:15" ht="15" thickBot="1" x14ac:dyDescent="0.4"/>
    <row r="30" spans="1:15" x14ac:dyDescent="0.35">
      <c r="A30" s="638" t="s">
        <v>1420</v>
      </c>
      <c r="B30" s="637" t="s">
        <v>1418</v>
      </c>
      <c r="C30" s="637"/>
      <c r="D30" s="190" t="s">
        <v>1405</v>
      </c>
      <c r="E30" s="190" t="s">
        <v>1406</v>
      </c>
      <c r="F30" s="190" t="s">
        <v>1407</v>
      </c>
      <c r="G30" s="190" t="s">
        <v>1408</v>
      </c>
      <c r="H30" s="190" t="s">
        <v>1409</v>
      </c>
      <c r="I30" s="190" t="s">
        <v>1410</v>
      </c>
      <c r="J30" s="190" t="s">
        <v>1411</v>
      </c>
      <c r="K30" s="190" t="s">
        <v>1412</v>
      </c>
      <c r="L30" s="190" t="s">
        <v>1413</v>
      </c>
      <c r="M30" s="190" t="s">
        <v>1414</v>
      </c>
      <c r="N30" s="190" t="s">
        <v>1415</v>
      </c>
      <c r="O30" s="190" t="s">
        <v>1416</v>
      </c>
    </row>
    <row r="31" spans="1:15" x14ac:dyDescent="0.35">
      <c r="A31" s="639"/>
      <c r="B31" s="85" t="s">
        <v>25</v>
      </c>
      <c r="C31" s="169">
        <v>3</v>
      </c>
      <c r="D31" s="67"/>
      <c r="E31" s="67"/>
      <c r="F31" s="67"/>
      <c r="G31" s="67"/>
      <c r="H31" s="184" t="s">
        <v>1419</v>
      </c>
      <c r="I31" s="67"/>
      <c r="J31" s="67"/>
      <c r="K31" s="67"/>
      <c r="L31" s="67"/>
      <c r="M31" s="67"/>
      <c r="N31" s="184" t="s">
        <v>1419</v>
      </c>
      <c r="O31" s="185"/>
    </row>
    <row r="32" spans="1:15" x14ac:dyDescent="0.35">
      <c r="A32" s="639"/>
      <c r="B32" s="85" t="s">
        <v>420</v>
      </c>
      <c r="C32" s="169">
        <v>3</v>
      </c>
      <c r="D32" s="67"/>
      <c r="E32" s="184" t="s">
        <v>1419</v>
      </c>
      <c r="F32" s="67"/>
      <c r="G32" s="67"/>
      <c r="H32" s="67"/>
      <c r="I32" s="67"/>
      <c r="J32" s="67"/>
      <c r="K32" s="184" t="s">
        <v>1419</v>
      </c>
      <c r="L32" s="67"/>
      <c r="M32" s="67"/>
      <c r="N32" s="67"/>
      <c r="O32" s="185"/>
    </row>
    <row r="33" spans="1:15" x14ac:dyDescent="0.35">
      <c r="A33" s="639"/>
      <c r="B33" s="85" t="s">
        <v>421</v>
      </c>
      <c r="C33" s="169">
        <v>3</v>
      </c>
      <c r="D33" s="67"/>
      <c r="E33" s="67"/>
      <c r="F33" s="67"/>
      <c r="G33" s="67"/>
      <c r="H33" s="184" t="s">
        <v>1419</v>
      </c>
      <c r="I33" s="67"/>
      <c r="J33" s="67"/>
      <c r="K33" s="67"/>
      <c r="L33" s="67"/>
      <c r="M33" s="67"/>
      <c r="N33" s="184" t="s">
        <v>1419</v>
      </c>
      <c r="O33" s="185"/>
    </row>
    <row r="34" spans="1:15" x14ac:dyDescent="0.35">
      <c r="A34" s="639"/>
      <c r="B34" s="85" t="s">
        <v>27</v>
      </c>
      <c r="C34" s="169">
        <v>3</v>
      </c>
      <c r="D34" s="67"/>
      <c r="E34" s="184" t="s">
        <v>1419</v>
      </c>
      <c r="F34" s="67"/>
      <c r="G34" s="67"/>
      <c r="H34" s="67"/>
      <c r="I34" s="67"/>
      <c r="J34" s="67"/>
      <c r="K34" s="184" t="s">
        <v>1419</v>
      </c>
      <c r="L34" s="67"/>
      <c r="M34" s="67"/>
      <c r="N34" s="67"/>
      <c r="O34" s="185"/>
    </row>
    <row r="35" spans="1:15" x14ac:dyDescent="0.35">
      <c r="A35" s="639"/>
      <c r="B35" s="85" t="s">
        <v>28</v>
      </c>
      <c r="C35" s="169">
        <v>3</v>
      </c>
      <c r="D35" s="67"/>
      <c r="E35" s="184" t="s">
        <v>1419</v>
      </c>
      <c r="F35" s="67"/>
      <c r="G35" s="67"/>
      <c r="H35" s="67"/>
      <c r="I35" s="67"/>
      <c r="J35" s="67"/>
      <c r="K35" s="184" t="s">
        <v>1419</v>
      </c>
      <c r="L35" s="67"/>
      <c r="M35" s="67"/>
      <c r="N35" s="67"/>
      <c r="O35" s="185"/>
    </row>
    <row r="36" spans="1:15" x14ac:dyDescent="0.35">
      <c r="A36" s="639"/>
      <c r="B36" s="85" t="s">
        <v>65</v>
      </c>
      <c r="C36" s="169">
        <v>3</v>
      </c>
      <c r="D36" s="67"/>
      <c r="E36" s="184" t="s">
        <v>1419</v>
      </c>
      <c r="F36" s="67"/>
      <c r="G36" s="67"/>
      <c r="H36" s="67"/>
      <c r="I36" s="67"/>
      <c r="J36" s="67"/>
      <c r="K36" s="184" t="s">
        <v>1419</v>
      </c>
      <c r="L36" s="67"/>
      <c r="M36" s="67"/>
      <c r="N36" s="67"/>
      <c r="O36" s="185"/>
    </row>
    <row r="37" spans="1:15" x14ac:dyDescent="0.35">
      <c r="A37" s="639"/>
      <c r="B37" s="85" t="s">
        <v>66</v>
      </c>
      <c r="C37" s="169">
        <v>3</v>
      </c>
      <c r="D37" s="67"/>
      <c r="E37" s="184" t="s">
        <v>1419</v>
      </c>
      <c r="F37" s="67"/>
      <c r="G37" s="67"/>
      <c r="H37" s="67"/>
      <c r="I37" s="67"/>
      <c r="J37" s="67"/>
      <c r="K37" s="184" t="s">
        <v>1419</v>
      </c>
      <c r="L37" s="67"/>
      <c r="M37" s="67"/>
      <c r="N37" s="67"/>
      <c r="O37" s="185"/>
    </row>
    <row r="38" spans="1:15" x14ac:dyDescent="0.35">
      <c r="A38" s="639"/>
      <c r="B38" s="85" t="s">
        <v>67</v>
      </c>
      <c r="C38" s="169">
        <v>3</v>
      </c>
      <c r="D38" s="67"/>
      <c r="E38" s="184" t="s">
        <v>1419</v>
      </c>
      <c r="F38" s="67"/>
      <c r="G38" s="67"/>
      <c r="H38" s="67"/>
      <c r="I38" s="67"/>
      <c r="J38" s="67"/>
      <c r="K38" s="184" t="s">
        <v>1419</v>
      </c>
      <c r="L38" s="67"/>
      <c r="M38" s="67"/>
      <c r="N38" s="67"/>
      <c r="O38" s="185"/>
    </row>
    <row r="39" spans="1:15" x14ac:dyDescent="0.35">
      <c r="A39" s="639"/>
      <c r="B39" s="85" t="s">
        <v>8</v>
      </c>
      <c r="C39" s="169">
        <v>3</v>
      </c>
      <c r="D39" s="184" t="s">
        <v>1419</v>
      </c>
      <c r="E39" s="67"/>
      <c r="F39" s="67"/>
      <c r="G39" s="67"/>
      <c r="H39" s="67"/>
      <c r="I39" s="67"/>
      <c r="J39" s="184" t="s">
        <v>1419</v>
      </c>
      <c r="K39" s="67"/>
      <c r="L39" s="67"/>
      <c r="M39" s="67"/>
      <c r="N39" s="67"/>
      <c r="O39" s="185"/>
    </row>
    <row r="40" spans="1:15" x14ac:dyDescent="0.35">
      <c r="A40" s="639"/>
      <c r="B40" s="85" t="s">
        <v>11</v>
      </c>
      <c r="C40" s="169">
        <v>3</v>
      </c>
      <c r="D40" s="184" t="s">
        <v>1419</v>
      </c>
      <c r="E40" s="67"/>
      <c r="F40" s="67"/>
      <c r="G40" s="67"/>
      <c r="H40" s="67"/>
      <c r="I40" s="67"/>
      <c r="J40" s="184" t="s">
        <v>1419</v>
      </c>
      <c r="K40" s="67"/>
      <c r="L40" s="67"/>
      <c r="M40" s="67"/>
      <c r="N40" s="67"/>
      <c r="O40" s="185"/>
    </row>
    <row r="41" spans="1:15" x14ac:dyDescent="0.35">
      <c r="A41" s="639"/>
      <c r="B41" s="85" t="s">
        <v>12</v>
      </c>
      <c r="C41" s="169">
        <v>3</v>
      </c>
      <c r="D41" s="184" t="s">
        <v>1419</v>
      </c>
      <c r="E41" s="67"/>
      <c r="F41" s="67"/>
      <c r="G41" s="67"/>
      <c r="H41" s="67"/>
      <c r="I41" s="67"/>
      <c r="J41" s="184" t="s">
        <v>1419</v>
      </c>
      <c r="K41" s="67"/>
      <c r="L41" s="67"/>
      <c r="M41" s="67"/>
      <c r="N41" s="67"/>
      <c r="O41" s="185"/>
    </row>
    <row r="42" spans="1:15" x14ac:dyDescent="0.35">
      <c r="A42" s="639"/>
      <c r="B42" s="85" t="s">
        <v>14</v>
      </c>
      <c r="C42" s="169">
        <v>3</v>
      </c>
      <c r="D42" s="184" t="s">
        <v>1419</v>
      </c>
      <c r="E42" s="67"/>
      <c r="F42" s="67"/>
      <c r="G42" s="67"/>
      <c r="H42" s="67"/>
      <c r="I42" s="67"/>
      <c r="J42" s="184" t="s">
        <v>1419</v>
      </c>
      <c r="K42" s="67"/>
      <c r="L42" s="67"/>
      <c r="M42" s="67"/>
      <c r="N42" s="67"/>
      <c r="O42" s="185"/>
    </row>
    <row r="43" spans="1:15" x14ac:dyDescent="0.35">
      <c r="A43" s="639"/>
      <c r="B43" s="85" t="s">
        <v>16</v>
      </c>
      <c r="C43" s="169">
        <v>3</v>
      </c>
      <c r="D43" s="184" t="s">
        <v>1419</v>
      </c>
      <c r="E43" s="67"/>
      <c r="F43" s="67"/>
      <c r="G43" s="67"/>
      <c r="H43" s="67"/>
      <c r="I43" s="67"/>
      <c r="J43" s="184" t="s">
        <v>1419</v>
      </c>
      <c r="K43" s="67"/>
      <c r="L43" s="67"/>
      <c r="M43" s="67"/>
      <c r="N43" s="67"/>
      <c r="O43" s="185"/>
    </row>
    <row r="44" spans="1:15" x14ac:dyDescent="0.35">
      <c r="A44" s="639"/>
      <c r="B44" s="85" t="s">
        <v>969</v>
      </c>
      <c r="C44" s="169">
        <v>3</v>
      </c>
      <c r="D44" s="184" t="s">
        <v>1419</v>
      </c>
      <c r="E44" s="67"/>
      <c r="F44" s="67"/>
      <c r="G44" s="67"/>
      <c r="H44" s="67"/>
      <c r="I44" s="67"/>
      <c r="J44" s="184" t="s">
        <v>1419</v>
      </c>
      <c r="K44" s="67"/>
      <c r="L44" s="67"/>
      <c r="M44" s="67"/>
      <c r="N44" s="67"/>
      <c r="O44" s="185"/>
    </row>
    <row r="45" spans="1:15" x14ac:dyDescent="0.35">
      <c r="A45" s="639"/>
      <c r="B45" s="85" t="s">
        <v>970</v>
      </c>
      <c r="C45" s="169">
        <v>3</v>
      </c>
      <c r="D45" s="184" t="s">
        <v>1419</v>
      </c>
      <c r="E45" s="67"/>
      <c r="F45" s="67"/>
      <c r="G45" s="67"/>
      <c r="H45" s="67"/>
      <c r="I45" s="67"/>
      <c r="J45" s="184" t="s">
        <v>1419</v>
      </c>
      <c r="K45" s="67"/>
      <c r="L45" s="67"/>
      <c r="M45" s="67"/>
      <c r="N45" s="67"/>
      <c r="O45" s="185"/>
    </row>
    <row r="46" spans="1:15" x14ac:dyDescent="0.35">
      <c r="A46" s="639"/>
      <c r="B46" s="85" t="s">
        <v>21</v>
      </c>
      <c r="C46" s="168">
        <v>3</v>
      </c>
      <c r="D46" s="67"/>
      <c r="E46" s="67"/>
      <c r="F46" s="67"/>
      <c r="G46" s="184" t="s">
        <v>1419</v>
      </c>
      <c r="H46" s="67"/>
      <c r="I46" s="67"/>
      <c r="J46" s="67"/>
      <c r="K46" s="67"/>
      <c r="L46" s="67"/>
      <c r="M46" s="184" t="s">
        <v>1419</v>
      </c>
      <c r="N46" s="67"/>
      <c r="O46" s="185"/>
    </row>
    <row r="47" spans="1:15" x14ac:dyDescent="0.35">
      <c r="A47" s="639"/>
      <c r="B47" s="85" t="s">
        <v>182</v>
      </c>
      <c r="C47" s="169">
        <v>3</v>
      </c>
      <c r="D47" s="67"/>
      <c r="E47" s="67"/>
      <c r="F47" s="67"/>
      <c r="G47" s="67"/>
      <c r="H47" s="67"/>
      <c r="I47" s="184" t="s">
        <v>1419</v>
      </c>
      <c r="J47" s="67"/>
      <c r="K47" s="67"/>
      <c r="L47" s="67"/>
      <c r="M47" s="67"/>
      <c r="N47" s="67"/>
      <c r="O47" s="186" t="s">
        <v>1419</v>
      </c>
    </row>
    <row r="48" spans="1:15" x14ac:dyDescent="0.35">
      <c r="A48" s="639"/>
      <c r="B48" s="85" t="s">
        <v>184</v>
      </c>
      <c r="C48" s="169">
        <v>3</v>
      </c>
      <c r="D48" s="67"/>
      <c r="E48" s="67"/>
      <c r="F48" s="67"/>
      <c r="G48" s="67"/>
      <c r="H48" s="67"/>
      <c r="I48" s="184" t="s">
        <v>1419</v>
      </c>
      <c r="J48" s="67"/>
      <c r="K48" s="67"/>
      <c r="L48" s="67"/>
      <c r="M48" s="67"/>
      <c r="N48" s="67"/>
      <c r="O48" s="186" t="s">
        <v>1419</v>
      </c>
    </row>
    <row r="49" spans="1:15" x14ac:dyDescent="0.35">
      <c r="A49" s="639"/>
      <c r="B49" s="85" t="s">
        <v>99</v>
      </c>
      <c r="C49" s="169">
        <v>3</v>
      </c>
      <c r="D49" s="67"/>
      <c r="E49" s="67"/>
      <c r="F49" s="67"/>
      <c r="G49" s="67"/>
      <c r="H49" s="67"/>
      <c r="I49" s="184" t="s">
        <v>1419</v>
      </c>
      <c r="J49" s="67"/>
      <c r="K49" s="67"/>
      <c r="L49" s="67"/>
      <c r="M49" s="67"/>
      <c r="N49" s="67"/>
      <c r="O49" s="186" t="s">
        <v>1419</v>
      </c>
    </row>
    <row r="50" spans="1:15" x14ac:dyDescent="0.35">
      <c r="A50" s="639"/>
      <c r="B50" s="85" t="s">
        <v>102</v>
      </c>
      <c r="C50" s="169">
        <v>3</v>
      </c>
      <c r="D50" s="67"/>
      <c r="E50" s="67"/>
      <c r="F50" s="67"/>
      <c r="G50" s="67"/>
      <c r="H50" s="67"/>
      <c r="I50" s="184" t="s">
        <v>1419</v>
      </c>
      <c r="J50" s="67"/>
      <c r="K50" s="67"/>
      <c r="L50" s="67"/>
      <c r="M50" s="67"/>
      <c r="N50" s="67"/>
      <c r="O50" s="186" t="s">
        <v>1419</v>
      </c>
    </row>
    <row r="51" spans="1:15" x14ac:dyDescent="0.35">
      <c r="A51" s="639"/>
      <c r="B51" s="85" t="s">
        <v>593</v>
      </c>
      <c r="C51" s="169">
        <v>3</v>
      </c>
      <c r="D51" s="67"/>
      <c r="E51" s="67"/>
      <c r="F51" s="67"/>
      <c r="G51" s="67"/>
      <c r="H51" s="67"/>
      <c r="I51" s="184" t="s">
        <v>1419</v>
      </c>
      <c r="J51" s="67"/>
      <c r="K51" s="67"/>
      <c r="L51" s="67"/>
      <c r="M51" s="67"/>
      <c r="N51" s="67"/>
      <c r="O51" s="186" t="s">
        <v>1419</v>
      </c>
    </row>
    <row r="52" spans="1:15" x14ac:dyDescent="0.35">
      <c r="A52" s="639"/>
      <c r="B52" s="85" t="s">
        <v>187</v>
      </c>
      <c r="C52" s="172">
        <v>3</v>
      </c>
      <c r="D52" s="67"/>
      <c r="E52" s="67"/>
      <c r="F52" s="67"/>
      <c r="G52" s="67"/>
      <c r="H52" s="67"/>
      <c r="I52" s="184" t="s">
        <v>1419</v>
      </c>
      <c r="J52" s="67"/>
      <c r="K52" s="67"/>
      <c r="L52" s="67"/>
      <c r="M52" s="67"/>
      <c r="N52" s="67"/>
      <c r="O52" s="186" t="s">
        <v>1419</v>
      </c>
    </row>
    <row r="53" spans="1:15" x14ac:dyDescent="0.35">
      <c r="A53" s="639"/>
      <c r="B53" s="170" t="s">
        <v>230</v>
      </c>
      <c r="C53" s="169">
        <v>3</v>
      </c>
      <c r="D53" s="184" t="s">
        <v>1417</v>
      </c>
      <c r="E53" s="67"/>
      <c r="F53" s="67"/>
      <c r="G53" s="67"/>
      <c r="H53" s="67"/>
      <c r="I53" s="67"/>
      <c r="J53" s="184" t="s">
        <v>1417</v>
      </c>
      <c r="K53" s="67"/>
      <c r="L53" s="67"/>
      <c r="M53" s="67"/>
      <c r="N53" s="67"/>
      <c r="O53" s="185"/>
    </row>
    <row r="54" spans="1:15" x14ac:dyDescent="0.35">
      <c r="A54" s="639"/>
      <c r="B54" s="170" t="s">
        <v>231</v>
      </c>
      <c r="C54" s="169">
        <v>3</v>
      </c>
      <c r="D54" s="184" t="s">
        <v>1417</v>
      </c>
      <c r="E54" s="67"/>
      <c r="F54" s="67"/>
      <c r="G54" s="67"/>
      <c r="H54" s="67"/>
      <c r="I54" s="67"/>
      <c r="J54" s="184" t="s">
        <v>1417</v>
      </c>
      <c r="K54" s="67"/>
      <c r="L54" s="67"/>
      <c r="M54" s="67"/>
      <c r="N54" s="67"/>
      <c r="O54" s="185"/>
    </row>
    <row r="55" spans="1:15" x14ac:dyDescent="0.35">
      <c r="A55" s="639"/>
      <c r="B55" s="170" t="s">
        <v>232</v>
      </c>
      <c r="C55" s="169">
        <v>3</v>
      </c>
      <c r="D55" s="184" t="s">
        <v>1417</v>
      </c>
      <c r="E55" s="67"/>
      <c r="F55" s="67"/>
      <c r="G55" s="67"/>
      <c r="H55" s="67"/>
      <c r="I55" s="67"/>
      <c r="J55" s="184" t="s">
        <v>1417</v>
      </c>
      <c r="K55" s="67"/>
      <c r="L55" s="67"/>
      <c r="M55" s="67"/>
      <c r="N55" s="67"/>
      <c r="O55" s="185"/>
    </row>
    <row r="56" spans="1:15" x14ac:dyDescent="0.35">
      <c r="A56" s="639"/>
      <c r="B56" s="170" t="s">
        <v>291</v>
      </c>
      <c r="C56" s="171">
        <v>3</v>
      </c>
      <c r="D56" s="67"/>
      <c r="E56" s="67"/>
      <c r="F56" s="67"/>
      <c r="G56" s="184" t="s">
        <v>1419</v>
      </c>
      <c r="H56" s="67"/>
      <c r="I56" s="67"/>
      <c r="J56" s="67"/>
      <c r="K56" s="67"/>
      <c r="L56" s="67"/>
      <c r="M56" s="184" t="s">
        <v>1419</v>
      </c>
      <c r="N56" s="67"/>
      <c r="O56" s="185"/>
    </row>
    <row r="57" spans="1:15" x14ac:dyDescent="0.35">
      <c r="A57" s="639"/>
      <c r="B57" s="170" t="s">
        <v>292</v>
      </c>
      <c r="C57" s="171">
        <v>3</v>
      </c>
      <c r="D57" s="67"/>
      <c r="E57" s="67"/>
      <c r="F57" s="67"/>
      <c r="G57" s="184" t="s">
        <v>1419</v>
      </c>
      <c r="H57" s="67"/>
      <c r="I57" s="67"/>
      <c r="J57" s="67"/>
      <c r="K57" s="67"/>
      <c r="L57" s="67"/>
      <c r="M57" s="184" t="s">
        <v>1419</v>
      </c>
      <c r="N57" s="67"/>
      <c r="O57" s="185"/>
    </row>
    <row r="58" spans="1:15" x14ac:dyDescent="0.35">
      <c r="A58" s="639"/>
      <c r="B58" s="170" t="s">
        <v>293</v>
      </c>
      <c r="C58" s="171">
        <v>3</v>
      </c>
      <c r="D58" s="67"/>
      <c r="E58" s="67"/>
      <c r="F58" s="67"/>
      <c r="G58" s="184" t="s">
        <v>1419</v>
      </c>
      <c r="H58" s="67"/>
      <c r="I58" s="67"/>
      <c r="J58" s="67"/>
      <c r="K58" s="67"/>
      <c r="L58" s="67"/>
      <c r="M58" s="184" t="s">
        <v>1419</v>
      </c>
      <c r="N58" s="67"/>
      <c r="O58" s="185"/>
    </row>
    <row r="59" spans="1:15" x14ac:dyDescent="0.35">
      <c r="A59" s="639"/>
      <c r="B59" s="170" t="s">
        <v>295</v>
      </c>
      <c r="C59" s="172">
        <v>3</v>
      </c>
      <c r="D59" s="67"/>
      <c r="E59" s="67"/>
      <c r="F59" s="67"/>
      <c r="G59" s="67"/>
      <c r="H59" s="67"/>
      <c r="I59" s="184" t="s">
        <v>1419</v>
      </c>
      <c r="J59" s="67"/>
      <c r="K59" s="67"/>
      <c r="L59" s="67"/>
      <c r="M59" s="67"/>
      <c r="N59" s="67"/>
      <c r="O59" s="186" t="s">
        <v>1419</v>
      </c>
    </row>
    <row r="60" spans="1:15" x14ac:dyDescent="0.35">
      <c r="A60" s="639"/>
      <c r="B60" s="170" t="s">
        <v>306</v>
      </c>
      <c r="C60" s="172">
        <v>3</v>
      </c>
      <c r="D60" s="67"/>
      <c r="E60" s="67"/>
      <c r="F60" s="67"/>
      <c r="G60" s="67"/>
      <c r="H60" s="67"/>
      <c r="I60" s="184" t="s">
        <v>1419</v>
      </c>
      <c r="J60" s="67"/>
      <c r="K60" s="67"/>
      <c r="L60" s="67"/>
      <c r="M60" s="67"/>
      <c r="N60" s="67"/>
      <c r="O60" s="186" t="s">
        <v>1419</v>
      </c>
    </row>
    <row r="61" spans="1:15" x14ac:dyDescent="0.35">
      <c r="A61" s="639"/>
      <c r="B61" s="170" t="s">
        <v>307</v>
      </c>
      <c r="C61" s="172">
        <v>3</v>
      </c>
      <c r="D61" s="67"/>
      <c r="E61" s="67"/>
      <c r="F61" s="67"/>
      <c r="G61" s="67"/>
      <c r="H61" s="67"/>
      <c r="I61" s="184" t="s">
        <v>1419</v>
      </c>
      <c r="J61" s="67"/>
      <c r="K61" s="67"/>
      <c r="L61" s="67"/>
      <c r="M61" s="67"/>
      <c r="N61" s="67"/>
      <c r="O61" s="186" t="s">
        <v>1419</v>
      </c>
    </row>
    <row r="62" spans="1:15" x14ac:dyDescent="0.35">
      <c r="A62" s="639"/>
      <c r="B62" s="170" t="s">
        <v>298</v>
      </c>
      <c r="C62" s="172">
        <v>3</v>
      </c>
      <c r="D62" s="67"/>
      <c r="E62" s="67"/>
      <c r="F62" s="67"/>
      <c r="G62" s="67"/>
      <c r="H62" s="67"/>
      <c r="I62" s="184" t="s">
        <v>1419</v>
      </c>
      <c r="J62" s="67"/>
      <c r="K62" s="67"/>
      <c r="L62" s="67"/>
      <c r="M62" s="67"/>
      <c r="N62" s="67"/>
      <c r="O62" s="186" t="s">
        <v>1419</v>
      </c>
    </row>
    <row r="63" spans="1:15" x14ac:dyDescent="0.35">
      <c r="A63" s="639"/>
      <c r="B63" s="170" t="s">
        <v>299</v>
      </c>
      <c r="C63" s="172">
        <v>3</v>
      </c>
      <c r="D63" s="67"/>
      <c r="E63" s="67"/>
      <c r="F63" s="67"/>
      <c r="G63" s="67"/>
      <c r="H63" s="67"/>
      <c r="I63" s="184" t="s">
        <v>1419</v>
      </c>
      <c r="J63" s="67"/>
      <c r="K63" s="67"/>
      <c r="L63" s="67"/>
      <c r="M63" s="67"/>
      <c r="N63" s="67"/>
      <c r="O63" s="186" t="s">
        <v>1419</v>
      </c>
    </row>
    <row r="64" spans="1:15" x14ac:dyDescent="0.35">
      <c r="A64" s="639"/>
      <c r="B64" s="170" t="s">
        <v>325</v>
      </c>
      <c r="C64" s="171">
        <v>3</v>
      </c>
      <c r="D64" s="67"/>
      <c r="E64" s="67"/>
      <c r="F64" s="67"/>
      <c r="G64" s="184" t="s">
        <v>1419</v>
      </c>
      <c r="H64" s="67"/>
      <c r="I64" s="67"/>
      <c r="J64" s="67"/>
      <c r="K64" s="67"/>
      <c r="L64" s="67"/>
      <c r="M64" s="184" t="s">
        <v>1419</v>
      </c>
      <c r="N64" s="67"/>
      <c r="O64" s="185"/>
    </row>
    <row r="65" spans="1:15" x14ac:dyDescent="0.35">
      <c r="A65" s="639"/>
      <c r="B65" s="170" t="s">
        <v>326</v>
      </c>
      <c r="C65" s="171">
        <v>3</v>
      </c>
      <c r="D65" s="67"/>
      <c r="E65" s="67"/>
      <c r="F65" s="67"/>
      <c r="G65" s="184" t="s">
        <v>1419</v>
      </c>
      <c r="H65" s="67"/>
      <c r="I65" s="67"/>
      <c r="J65" s="67"/>
      <c r="K65" s="67"/>
      <c r="L65" s="67"/>
      <c r="M65" s="184" t="s">
        <v>1419</v>
      </c>
      <c r="N65" s="67"/>
      <c r="O65" s="185"/>
    </row>
    <row r="66" spans="1:15" x14ac:dyDescent="0.35">
      <c r="A66" s="639"/>
      <c r="B66" s="170" t="s">
        <v>327</v>
      </c>
      <c r="C66" s="171">
        <v>3</v>
      </c>
      <c r="D66" s="67"/>
      <c r="E66" s="67"/>
      <c r="F66" s="67"/>
      <c r="G66" s="184" t="s">
        <v>1419</v>
      </c>
      <c r="H66" s="67"/>
      <c r="I66" s="67"/>
      <c r="J66" s="67"/>
      <c r="K66" s="67"/>
      <c r="L66" s="67"/>
      <c r="M66" s="184" t="s">
        <v>1419</v>
      </c>
      <c r="N66" s="67"/>
      <c r="O66" s="185"/>
    </row>
    <row r="67" spans="1:15" x14ac:dyDescent="0.35">
      <c r="A67" s="639"/>
      <c r="B67" s="170" t="s">
        <v>986</v>
      </c>
      <c r="C67" s="171">
        <v>3</v>
      </c>
      <c r="D67" s="67"/>
      <c r="E67" s="67"/>
      <c r="F67" s="184" t="s">
        <v>1419</v>
      </c>
      <c r="G67" s="67"/>
      <c r="H67" s="67"/>
      <c r="I67" s="67"/>
      <c r="J67" s="67"/>
      <c r="K67" s="67"/>
      <c r="L67" s="184" t="s">
        <v>1419</v>
      </c>
      <c r="M67" s="67"/>
      <c r="N67" s="67"/>
      <c r="O67" s="185"/>
    </row>
    <row r="68" spans="1:15" x14ac:dyDescent="0.35">
      <c r="A68" s="639"/>
      <c r="B68" s="170" t="s">
        <v>991</v>
      </c>
      <c r="C68" s="171">
        <v>3</v>
      </c>
      <c r="D68" s="67"/>
      <c r="E68" s="67"/>
      <c r="F68" s="184" t="s">
        <v>1419</v>
      </c>
      <c r="G68" s="67"/>
      <c r="H68" s="67"/>
      <c r="I68" s="67"/>
      <c r="J68" s="67"/>
      <c r="K68" s="67"/>
      <c r="L68" s="184" t="s">
        <v>1419</v>
      </c>
      <c r="M68" s="67"/>
      <c r="N68" s="67"/>
      <c r="O68" s="185"/>
    </row>
    <row r="69" spans="1:15" x14ac:dyDescent="0.35">
      <c r="A69" s="639"/>
      <c r="B69" s="170" t="s">
        <v>988</v>
      </c>
      <c r="C69" s="171">
        <v>3</v>
      </c>
      <c r="D69" s="67"/>
      <c r="E69" s="67"/>
      <c r="F69" s="184" t="s">
        <v>1419</v>
      </c>
      <c r="G69" s="67"/>
      <c r="H69" s="67"/>
      <c r="I69" s="67"/>
      <c r="J69" s="67"/>
      <c r="K69" s="67"/>
      <c r="L69" s="184" t="s">
        <v>1419</v>
      </c>
      <c r="M69" s="67"/>
      <c r="N69" s="67"/>
      <c r="O69" s="185"/>
    </row>
    <row r="70" spans="1:15" x14ac:dyDescent="0.35">
      <c r="A70" s="639"/>
      <c r="B70" s="170" t="s">
        <v>243</v>
      </c>
      <c r="C70" s="169">
        <v>3</v>
      </c>
      <c r="D70" s="184" t="s">
        <v>1419</v>
      </c>
      <c r="E70" s="67"/>
      <c r="F70" s="67"/>
      <c r="G70" s="67"/>
      <c r="H70" s="67"/>
      <c r="I70" s="67"/>
      <c r="J70" s="184" t="s">
        <v>1419</v>
      </c>
      <c r="K70" s="67"/>
      <c r="L70" s="67"/>
      <c r="M70" s="67"/>
      <c r="N70" s="67"/>
      <c r="O70" s="185"/>
    </row>
    <row r="71" spans="1:15" x14ac:dyDescent="0.35">
      <c r="A71" s="639"/>
      <c r="B71" s="170" t="s">
        <v>246</v>
      </c>
      <c r="C71" s="169">
        <v>3</v>
      </c>
      <c r="D71" s="67"/>
      <c r="E71" s="67"/>
      <c r="F71" s="67"/>
      <c r="G71" s="67"/>
      <c r="H71" s="184" t="s">
        <v>1419</v>
      </c>
      <c r="I71" s="67"/>
      <c r="J71" s="67"/>
      <c r="K71" s="67"/>
      <c r="L71" s="67"/>
      <c r="M71" s="67"/>
      <c r="N71" s="184" t="s">
        <v>1419</v>
      </c>
      <c r="O71" s="185"/>
    </row>
    <row r="72" spans="1:15" x14ac:dyDescent="0.35">
      <c r="A72" s="639"/>
      <c r="B72" s="170" t="s">
        <v>280</v>
      </c>
      <c r="C72" s="169">
        <v>3</v>
      </c>
      <c r="D72" s="184" t="s">
        <v>1419</v>
      </c>
      <c r="E72" s="67"/>
      <c r="F72" s="67"/>
      <c r="G72" s="67"/>
      <c r="H72" s="67"/>
      <c r="I72" s="67"/>
      <c r="J72" s="184" t="s">
        <v>1419</v>
      </c>
      <c r="K72" s="67"/>
      <c r="L72" s="67"/>
      <c r="M72" s="67"/>
      <c r="N72" s="67"/>
      <c r="O72" s="185"/>
    </row>
    <row r="73" spans="1:15" x14ac:dyDescent="0.35">
      <c r="A73" s="639"/>
      <c r="B73" s="170" t="s">
        <v>723</v>
      </c>
      <c r="C73" s="171">
        <v>3</v>
      </c>
      <c r="D73" s="67"/>
      <c r="E73" s="67"/>
      <c r="F73" s="67"/>
      <c r="G73" s="67"/>
      <c r="H73" s="67"/>
      <c r="I73" s="184" t="s">
        <v>1419</v>
      </c>
      <c r="J73" s="67"/>
      <c r="K73" s="67"/>
      <c r="L73" s="67"/>
      <c r="M73" s="67"/>
      <c r="N73" s="67"/>
      <c r="O73" s="186" t="s">
        <v>1419</v>
      </c>
    </row>
    <row r="74" spans="1:15" x14ac:dyDescent="0.35">
      <c r="A74" s="639"/>
      <c r="B74" s="170" t="s">
        <v>996</v>
      </c>
      <c r="C74" s="171">
        <v>3</v>
      </c>
      <c r="D74" s="67"/>
      <c r="E74" s="67"/>
      <c r="F74" s="67"/>
      <c r="G74" s="67"/>
      <c r="H74" s="67"/>
      <c r="I74" s="184" t="s">
        <v>1419</v>
      </c>
      <c r="J74" s="67"/>
      <c r="K74" s="67"/>
      <c r="L74" s="67"/>
      <c r="M74" s="67"/>
      <c r="N74" s="67"/>
      <c r="O74" s="186" t="s">
        <v>1419</v>
      </c>
    </row>
    <row r="75" spans="1:15" x14ac:dyDescent="0.35">
      <c r="A75" s="639"/>
      <c r="B75" s="170" t="s">
        <v>997</v>
      </c>
      <c r="C75" s="171">
        <v>3</v>
      </c>
      <c r="D75" s="67"/>
      <c r="E75" s="67"/>
      <c r="F75" s="67"/>
      <c r="G75" s="67"/>
      <c r="H75" s="67"/>
      <c r="I75" s="184" t="s">
        <v>1419</v>
      </c>
      <c r="J75" s="67"/>
      <c r="K75" s="67"/>
      <c r="L75" s="67"/>
      <c r="M75" s="67"/>
      <c r="N75" s="67"/>
      <c r="O75" s="186" t="s">
        <v>1419</v>
      </c>
    </row>
    <row r="76" spans="1:15" x14ac:dyDescent="0.35">
      <c r="A76" s="639"/>
      <c r="B76" s="170" t="s">
        <v>266</v>
      </c>
      <c r="C76" s="169">
        <v>3</v>
      </c>
      <c r="D76" s="184" t="s">
        <v>1419</v>
      </c>
      <c r="E76" s="67"/>
      <c r="F76" s="67"/>
      <c r="G76" s="67"/>
      <c r="H76" s="67"/>
      <c r="I76" s="67"/>
      <c r="J76" s="184" t="s">
        <v>1419</v>
      </c>
      <c r="K76" s="67"/>
      <c r="L76" s="67"/>
      <c r="M76" s="67"/>
      <c r="N76" s="67"/>
      <c r="O76" s="185"/>
    </row>
    <row r="77" spans="1:15" x14ac:dyDescent="0.35">
      <c r="A77" s="639"/>
      <c r="B77" s="170" t="s">
        <v>267</v>
      </c>
      <c r="C77" s="169">
        <v>3</v>
      </c>
      <c r="D77" s="184" t="s">
        <v>1419</v>
      </c>
      <c r="E77" s="67"/>
      <c r="F77" s="67"/>
      <c r="G77" s="67"/>
      <c r="H77" s="67"/>
      <c r="I77" s="67"/>
      <c r="J77" s="184" t="s">
        <v>1419</v>
      </c>
      <c r="K77" s="67"/>
      <c r="L77" s="67"/>
      <c r="M77" s="67"/>
      <c r="N77" s="67"/>
      <c r="O77" s="185"/>
    </row>
    <row r="78" spans="1:15" x14ac:dyDescent="0.35">
      <c r="A78" s="639"/>
      <c r="B78" s="170" t="s">
        <v>286</v>
      </c>
      <c r="C78" s="169">
        <v>3</v>
      </c>
      <c r="D78" s="67"/>
      <c r="E78" s="184" t="s">
        <v>1419</v>
      </c>
      <c r="F78" s="67"/>
      <c r="G78" s="67"/>
      <c r="H78" s="67"/>
      <c r="I78" s="67"/>
      <c r="J78" s="67"/>
      <c r="K78" s="184" t="s">
        <v>1419</v>
      </c>
      <c r="L78" s="67"/>
      <c r="M78" s="67"/>
      <c r="N78" s="67"/>
      <c r="O78" s="185"/>
    </row>
    <row r="79" spans="1:15" x14ac:dyDescent="0.35">
      <c r="A79" s="639"/>
      <c r="B79" s="170" t="s">
        <v>270</v>
      </c>
      <c r="C79" s="169">
        <v>3</v>
      </c>
      <c r="D79" s="67"/>
      <c r="E79" s="184" t="s">
        <v>1419</v>
      </c>
      <c r="F79" s="67"/>
      <c r="G79" s="67"/>
      <c r="H79" s="67"/>
      <c r="I79" s="67"/>
      <c r="J79" s="67"/>
      <c r="K79" s="184" t="s">
        <v>1419</v>
      </c>
      <c r="L79" s="67"/>
      <c r="M79" s="67"/>
      <c r="N79" s="67"/>
      <c r="O79" s="185"/>
    </row>
    <row r="80" spans="1:15" x14ac:dyDescent="0.35">
      <c r="A80" s="639"/>
      <c r="B80" s="170" t="s">
        <v>273</v>
      </c>
      <c r="C80" s="169">
        <v>3</v>
      </c>
      <c r="D80" s="67"/>
      <c r="E80" s="184" t="s">
        <v>1419</v>
      </c>
      <c r="F80" s="67"/>
      <c r="G80" s="67"/>
      <c r="H80" s="67"/>
      <c r="I80" s="67"/>
      <c r="J80" s="67"/>
      <c r="K80" s="184" t="s">
        <v>1419</v>
      </c>
      <c r="L80" s="67"/>
      <c r="M80" s="67"/>
      <c r="N80" s="67"/>
      <c r="O80" s="185"/>
    </row>
    <row r="81" spans="1:15" x14ac:dyDescent="0.35">
      <c r="A81" s="639"/>
      <c r="B81" s="170" t="s">
        <v>275</v>
      </c>
      <c r="C81" s="169">
        <v>3</v>
      </c>
      <c r="D81" s="67"/>
      <c r="E81" s="184" t="s">
        <v>1419</v>
      </c>
      <c r="F81" s="67"/>
      <c r="G81" s="67"/>
      <c r="H81" s="67"/>
      <c r="I81" s="67"/>
      <c r="J81" s="67"/>
      <c r="K81" s="184" t="s">
        <v>1419</v>
      </c>
      <c r="L81" s="67"/>
      <c r="M81" s="67"/>
      <c r="N81" s="67"/>
      <c r="O81" s="185"/>
    </row>
    <row r="82" spans="1:15" x14ac:dyDescent="0.35">
      <c r="A82" s="639"/>
      <c r="B82" s="170" t="s">
        <v>276</v>
      </c>
      <c r="C82" s="169">
        <v>3</v>
      </c>
      <c r="D82" s="67"/>
      <c r="E82" s="184" t="s">
        <v>1419</v>
      </c>
      <c r="F82" s="67"/>
      <c r="G82" s="67"/>
      <c r="H82" s="67"/>
      <c r="I82" s="67"/>
      <c r="J82" s="67"/>
      <c r="K82" s="184" t="s">
        <v>1419</v>
      </c>
      <c r="L82" s="67"/>
      <c r="M82" s="67"/>
      <c r="N82" s="67"/>
      <c r="O82" s="185"/>
    </row>
    <row r="83" spans="1:15" x14ac:dyDescent="0.35">
      <c r="A83" s="639"/>
      <c r="B83" s="85" t="s">
        <v>924</v>
      </c>
      <c r="C83" s="169">
        <v>3</v>
      </c>
      <c r="D83" s="67"/>
      <c r="E83" s="67"/>
      <c r="F83" s="184" t="s">
        <v>1419</v>
      </c>
      <c r="G83" s="67"/>
      <c r="H83" s="67"/>
      <c r="I83" s="67"/>
      <c r="J83" s="67"/>
      <c r="K83" s="67"/>
      <c r="L83" s="184" t="s">
        <v>1419</v>
      </c>
      <c r="M83" s="67"/>
      <c r="N83" s="67"/>
      <c r="O83" s="185"/>
    </row>
    <row r="84" spans="1:15" x14ac:dyDescent="0.35">
      <c r="A84" s="639"/>
      <c r="B84" s="85" t="s">
        <v>104</v>
      </c>
      <c r="C84" s="169">
        <v>3</v>
      </c>
      <c r="D84" s="67"/>
      <c r="E84" s="67"/>
      <c r="F84" s="184" t="s">
        <v>1419</v>
      </c>
      <c r="G84" s="67"/>
      <c r="H84" s="67"/>
      <c r="I84" s="67"/>
      <c r="J84" s="67"/>
      <c r="K84" s="67"/>
      <c r="L84" s="184" t="s">
        <v>1419</v>
      </c>
      <c r="M84" s="67"/>
      <c r="N84" s="67"/>
      <c r="O84" s="185"/>
    </row>
    <row r="85" spans="1:15" x14ac:dyDescent="0.35">
      <c r="A85" s="639"/>
      <c r="B85" s="85" t="s">
        <v>127</v>
      </c>
      <c r="C85" s="169">
        <v>3</v>
      </c>
      <c r="D85" s="67"/>
      <c r="E85" s="67"/>
      <c r="F85" s="184" t="s">
        <v>1419</v>
      </c>
      <c r="G85" s="67"/>
      <c r="H85" s="67"/>
      <c r="I85" s="67"/>
      <c r="J85" s="67"/>
      <c r="K85" s="67"/>
      <c r="L85" s="184" t="s">
        <v>1419</v>
      </c>
      <c r="M85" s="67"/>
      <c r="N85" s="67"/>
      <c r="O85" s="185"/>
    </row>
    <row r="86" spans="1:15" x14ac:dyDescent="0.35">
      <c r="A86" s="639"/>
      <c r="B86" s="85" t="s">
        <v>923</v>
      </c>
      <c r="C86" s="169">
        <v>3</v>
      </c>
      <c r="D86" s="67"/>
      <c r="E86" s="67"/>
      <c r="F86" s="184" t="s">
        <v>1419</v>
      </c>
      <c r="G86" s="67"/>
      <c r="H86" s="67"/>
      <c r="I86" s="67"/>
      <c r="J86" s="67"/>
      <c r="K86" s="67"/>
      <c r="L86" s="184" t="s">
        <v>1419</v>
      </c>
      <c r="M86" s="67"/>
      <c r="N86" s="67"/>
      <c r="O86" s="185"/>
    </row>
    <row r="87" spans="1:15" x14ac:dyDescent="0.35">
      <c r="A87" s="639"/>
      <c r="B87" s="85" t="s">
        <v>440</v>
      </c>
      <c r="C87" s="173">
        <v>3</v>
      </c>
      <c r="D87" s="67"/>
      <c r="E87" s="67"/>
      <c r="F87" s="67"/>
      <c r="G87" s="67"/>
      <c r="H87" s="184" t="s">
        <v>1419</v>
      </c>
      <c r="I87" s="67"/>
      <c r="J87" s="67"/>
      <c r="K87" s="67"/>
      <c r="L87" s="67"/>
      <c r="M87" s="67"/>
      <c r="N87" s="184" t="s">
        <v>1419</v>
      </c>
      <c r="O87" s="185"/>
    </row>
    <row r="88" spans="1:15" x14ac:dyDescent="0.35">
      <c r="A88" s="639"/>
      <c r="B88" s="85" t="s">
        <v>441</v>
      </c>
      <c r="C88" s="173">
        <v>3</v>
      </c>
      <c r="D88" s="67"/>
      <c r="E88" s="67"/>
      <c r="F88" s="67"/>
      <c r="G88" s="67"/>
      <c r="H88" s="184" t="s">
        <v>1419</v>
      </c>
      <c r="I88" s="67"/>
      <c r="J88" s="67"/>
      <c r="K88" s="67"/>
      <c r="L88" s="67"/>
      <c r="M88" s="67"/>
      <c r="N88" s="184" t="s">
        <v>1419</v>
      </c>
      <c r="O88" s="185"/>
    </row>
    <row r="89" spans="1:15" x14ac:dyDescent="0.35">
      <c r="A89" s="639"/>
      <c r="B89" s="85" t="s">
        <v>442</v>
      </c>
      <c r="C89" s="173">
        <v>3</v>
      </c>
      <c r="D89" s="67"/>
      <c r="E89" s="67"/>
      <c r="F89" s="67"/>
      <c r="G89" s="67"/>
      <c r="H89" s="184" t="s">
        <v>1419</v>
      </c>
      <c r="I89" s="67"/>
      <c r="J89" s="67"/>
      <c r="K89" s="67"/>
      <c r="L89" s="67"/>
      <c r="M89" s="67"/>
      <c r="N89" s="184" t="s">
        <v>1419</v>
      </c>
      <c r="O89" s="185"/>
    </row>
    <row r="90" spans="1:15" x14ac:dyDescent="0.35">
      <c r="A90" s="639"/>
      <c r="B90" s="85" t="s">
        <v>443</v>
      </c>
      <c r="C90" s="173">
        <v>3</v>
      </c>
      <c r="D90" s="67"/>
      <c r="E90" s="67"/>
      <c r="F90" s="67"/>
      <c r="G90" s="67"/>
      <c r="H90" s="184" t="s">
        <v>1419</v>
      </c>
      <c r="I90" s="67"/>
      <c r="J90" s="67"/>
      <c r="K90" s="67"/>
      <c r="L90" s="67"/>
      <c r="M90" s="67"/>
      <c r="N90" s="184" t="s">
        <v>1419</v>
      </c>
      <c r="O90" s="185"/>
    </row>
    <row r="91" spans="1:15" x14ac:dyDescent="0.35">
      <c r="A91" s="639"/>
      <c r="B91" s="85" t="s">
        <v>444</v>
      </c>
      <c r="C91" s="173">
        <v>3</v>
      </c>
      <c r="D91" s="67"/>
      <c r="E91" s="67"/>
      <c r="F91" s="67"/>
      <c r="G91" s="67"/>
      <c r="H91" s="184" t="s">
        <v>1419</v>
      </c>
      <c r="I91" s="67"/>
      <c r="J91" s="67"/>
      <c r="K91" s="67"/>
      <c r="L91" s="67"/>
      <c r="M91" s="67"/>
      <c r="N91" s="184" t="s">
        <v>1419</v>
      </c>
      <c r="O91" s="185"/>
    </row>
    <row r="92" spans="1:15" x14ac:dyDescent="0.35">
      <c r="A92" s="639"/>
      <c r="B92" s="85" t="s">
        <v>445</v>
      </c>
      <c r="C92" s="173">
        <v>3</v>
      </c>
      <c r="D92" s="67"/>
      <c r="E92" s="67"/>
      <c r="F92" s="67"/>
      <c r="G92" s="67"/>
      <c r="H92" s="184" t="s">
        <v>1419</v>
      </c>
      <c r="I92" s="67"/>
      <c r="J92" s="67"/>
      <c r="K92" s="67"/>
      <c r="L92" s="67"/>
      <c r="M92" s="67"/>
      <c r="N92" s="184" t="s">
        <v>1419</v>
      </c>
      <c r="O92" s="185"/>
    </row>
    <row r="93" spans="1:15" x14ac:dyDescent="0.35">
      <c r="A93" s="639"/>
      <c r="B93" s="85" t="s">
        <v>446</v>
      </c>
      <c r="C93" s="173">
        <v>3</v>
      </c>
      <c r="D93" s="67"/>
      <c r="E93" s="67"/>
      <c r="F93" s="67"/>
      <c r="G93" s="67"/>
      <c r="H93" s="184" t="s">
        <v>1419</v>
      </c>
      <c r="I93" s="67"/>
      <c r="J93" s="67"/>
      <c r="K93" s="67"/>
      <c r="L93" s="67"/>
      <c r="M93" s="67"/>
      <c r="N93" s="184" t="s">
        <v>1419</v>
      </c>
      <c r="O93" s="185"/>
    </row>
    <row r="94" spans="1:15" x14ac:dyDescent="0.35">
      <c r="A94" s="639"/>
      <c r="B94" s="85" t="s">
        <v>447</v>
      </c>
      <c r="C94" s="173">
        <v>3</v>
      </c>
      <c r="D94" s="67"/>
      <c r="E94" s="67"/>
      <c r="F94" s="67"/>
      <c r="G94" s="67"/>
      <c r="H94" s="184" t="s">
        <v>1419</v>
      </c>
      <c r="I94" s="67"/>
      <c r="J94" s="67"/>
      <c r="K94" s="67"/>
      <c r="L94" s="67"/>
      <c r="M94" s="67"/>
      <c r="N94" s="184" t="s">
        <v>1419</v>
      </c>
      <c r="O94" s="185"/>
    </row>
    <row r="95" spans="1:15" x14ac:dyDescent="0.35">
      <c r="A95" s="639"/>
      <c r="B95" s="85" t="s">
        <v>448</v>
      </c>
      <c r="C95" s="173">
        <v>3</v>
      </c>
      <c r="D95" s="67"/>
      <c r="E95" s="67"/>
      <c r="F95" s="184" t="s">
        <v>1419</v>
      </c>
      <c r="G95" s="67"/>
      <c r="H95" s="67"/>
      <c r="I95" s="67"/>
      <c r="J95" s="67"/>
      <c r="K95" s="67"/>
      <c r="L95" s="184" t="s">
        <v>1419</v>
      </c>
      <c r="M95" s="67"/>
      <c r="N95" s="67"/>
      <c r="O95" s="185"/>
    </row>
    <row r="96" spans="1:15" x14ac:dyDescent="0.35">
      <c r="A96" s="639"/>
      <c r="B96" s="85" t="s">
        <v>449</v>
      </c>
      <c r="C96" s="173">
        <v>3</v>
      </c>
      <c r="D96" s="67"/>
      <c r="E96" s="67"/>
      <c r="F96" s="184" t="s">
        <v>1419</v>
      </c>
      <c r="G96" s="67"/>
      <c r="H96" s="67"/>
      <c r="I96" s="67"/>
      <c r="J96" s="67"/>
      <c r="K96" s="67"/>
      <c r="L96" s="184" t="s">
        <v>1419</v>
      </c>
      <c r="M96" s="67"/>
      <c r="N96" s="67"/>
      <c r="O96" s="185"/>
    </row>
    <row r="97" spans="1:15" x14ac:dyDescent="0.35">
      <c r="A97" s="639"/>
      <c r="B97" s="85" t="s">
        <v>450</v>
      </c>
      <c r="C97" s="173">
        <v>3</v>
      </c>
      <c r="D97" s="67"/>
      <c r="E97" s="67"/>
      <c r="F97" s="184" t="s">
        <v>1419</v>
      </c>
      <c r="G97" s="67"/>
      <c r="H97" s="67"/>
      <c r="I97" s="67"/>
      <c r="J97" s="67"/>
      <c r="K97" s="67"/>
      <c r="L97" s="184" t="s">
        <v>1419</v>
      </c>
      <c r="M97" s="67"/>
      <c r="N97" s="67"/>
      <c r="O97" s="185"/>
    </row>
    <row r="98" spans="1:15" x14ac:dyDescent="0.35">
      <c r="A98" s="639"/>
      <c r="B98" s="85" t="s">
        <v>451</v>
      </c>
      <c r="C98" s="173">
        <v>3</v>
      </c>
      <c r="D98" s="67"/>
      <c r="E98" s="67"/>
      <c r="F98" s="184" t="s">
        <v>1419</v>
      </c>
      <c r="G98" s="67"/>
      <c r="H98" s="67"/>
      <c r="I98" s="67"/>
      <c r="J98" s="67"/>
      <c r="K98" s="67"/>
      <c r="L98" s="184" t="s">
        <v>1419</v>
      </c>
      <c r="M98" s="67"/>
      <c r="N98" s="67"/>
      <c r="O98" s="185"/>
    </row>
    <row r="99" spans="1:15" x14ac:dyDescent="0.35">
      <c r="A99" s="639"/>
      <c r="B99" s="85" t="s">
        <v>452</v>
      </c>
      <c r="C99" s="173">
        <v>3</v>
      </c>
      <c r="D99" s="67"/>
      <c r="E99" s="67"/>
      <c r="F99" s="184" t="s">
        <v>1419</v>
      </c>
      <c r="G99" s="67"/>
      <c r="H99" s="67"/>
      <c r="I99" s="67"/>
      <c r="J99" s="67"/>
      <c r="K99" s="67"/>
      <c r="L99" s="184" t="s">
        <v>1419</v>
      </c>
      <c r="M99" s="67"/>
      <c r="N99" s="67"/>
      <c r="O99" s="185"/>
    </row>
    <row r="100" spans="1:15" x14ac:dyDescent="0.35">
      <c r="A100" s="639"/>
      <c r="B100" s="85" t="s">
        <v>453</v>
      </c>
      <c r="C100" s="173">
        <v>3</v>
      </c>
      <c r="D100" s="67"/>
      <c r="E100" s="67"/>
      <c r="F100" s="184" t="s">
        <v>1419</v>
      </c>
      <c r="G100" s="67"/>
      <c r="H100" s="67"/>
      <c r="I100" s="67"/>
      <c r="J100" s="67"/>
      <c r="K100" s="67"/>
      <c r="L100" s="184" t="s">
        <v>1419</v>
      </c>
      <c r="M100" s="67"/>
      <c r="N100" s="67"/>
      <c r="O100" s="185"/>
    </row>
    <row r="101" spans="1:15" x14ac:dyDescent="0.35">
      <c r="A101" s="639"/>
      <c r="B101" s="85" t="s">
        <v>454</v>
      </c>
      <c r="C101" s="173">
        <v>3</v>
      </c>
      <c r="D101" s="67"/>
      <c r="E101" s="67"/>
      <c r="F101" s="184" t="s">
        <v>1419</v>
      </c>
      <c r="G101" s="67"/>
      <c r="H101" s="67"/>
      <c r="I101" s="67"/>
      <c r="J101" s="67"/>
      <c r="K101" s="67"/>
      <c r="L101" s="184" t="s">
        <v>1419</v>
      </c>
      <c r="M101" s="67"/>
      <c r="N101" s="67"/>
      <c r="O101" s="185"/>
    </row>
    <row r="102" spans="1:15" x14ac:dyDescent="0.35">
      <c r="A102" s="639"/>
      <c r="B102" s="85" t="s">
        <v>455</v>
      </c>
      <c r="C102" s="173">
        <v>3</v>
      </c>
      <c r="D102" s="67"/>
      <c r="E102" s="67"/>
      <c r="F102" s="67"/>
      <c r="G102" s="184" t="s">
        <v>1419</v>
      </c>
      <c r="H102" s="67"/>
      <c r="I102" s="67"/>
      <c r="J102" s="67"/>
      <c r="K102" s="67"/>
      <c r="L102" s="67"/>
      <c r="M102" s="184" t="s">
        <v>1419</v>
      </c>
      <c r="N102" s="67"/>
      <c r="O102" s="185"/>
    </row>
    <row r="103" spans="1:15" x14ac:dyDescent="0.35">
      <c r="A103" s="639"/>
      <c r="B103" s="85" t="s">
        <v>456</v>
      </c>
      <c r="C103" s="173">
        <v>3</v>
      </c>
      <c r="D103" s="67"/>
      <c r="E103" s="67"/>
      <c r="F103" s="67"/>
      <c r="G103" s="184" t="s">
        <v>1419</v>
      </c>
      <c r="H103" s="67"/>
      <c r="I103" s="67"/>
      <c r="J103" s="67"/>
      <c r="K103" s="67"/>
      <c r="L103" s="67"/>
      <c r="M103" s="184" t="s">
        <v>1419</v>
      </c>
      <c r="N103" s="67"/>
      <c r="O103" s="185"/>
    </row>
    <row r="104" spans="1:15" x14ac:dyDescent="0.35">
      <c r="A104" s="639"/>
      <c r="B104" s="85" t="s">
        <v>437</v>
      </c>
      <c r="C104" s="173">
        <v>3</v>
      </c>
      <c r="D104" s="67"/>
      <c r="E104" s="67"/>
      <c r="F104" s="67"/>
      <c r="G104" s="67"/>
      <c r="H104" s="184" t="s">
        <v>1419</v>
      </c>
      <c r="I104" s="67"/>
      <c r="J104" s="67"/>
      <c r="K104" s="67"/>
      <c r="L104" s="67"/>
      <c r="M104" s="67"/>
      <c r="N104" s="184" t="s">
        <v>1419</v>
      </c>
      <c r="O104" s="185"/>
    </row>
    <row r="105" spans="1:15" x14ac:dyDescent="0.35">
      <c r="A105" s="639"/>
      <c r="B105" s="85" t="s">
        <v>438</v>
      </c>
      <c r="C105" s="173">
        <v>3</v>
      </c>
      <c r="D105" s="67"/>
      <c r="E105" s="67"/>
      <c r="F105" s="67"/>
      <c r="G105" s="67"/>
      <c r="H105" s="184" t="s">
        <v>1419</v>
      </c>
      <c r="I105" s="67"/>
      <c r="J105" s="67"/>
      <c r="K105" s="67"/>
      <c r="L105" s="67"/>
      <c r="M105" s="67"/>
      <c r="N105" s="184" t="s">
        <v>1419</v>
      </c>
      <c r="O105" s="185"/>
    </row>
    <row r="106" spans="1:15" x14ac:dyDescent="0.35">
      <c r="A106" s="639"/>
      <c r="B106" s="85" t="s">
        <v>439</v>
      </c>
      <c r="C106" s="173">
        <v>3</v>
      </c>
      <c r="D106" s="67"/>
      <c r="E106" s="67"/>
      <c r="F106" s="67"/>
      <c r="G106" s="67"/>
      <c r="H106" s="184" t="s">
        <v>1419</v>
      </c>
      <c r="I106" s="67"/>
      <c r="J106" s="67"/>
      <c r="K106" s="67"/>
      <c r="L106" s="67"/>
      <c r="M106" s="67"/>
      <c r="N106" s="184" t="s">
        <v>1419</v>
      </c>
      <c r="O106" s="185"/>
    </row>
    <row r="107" spans="1:15" x14ac:dyDescent="0.35">
      <c r="A107" s="639"/>
      <c r="B107" s="85" t="s">
        <v>128</v>
      </c>
      <c r="C107" s="169">
        <v>3</v>
      </c>
      <c r="D107" s="67"/>
      <c r="E107" s="184" t="s">
        <v>1419</v>
      </c>
      <c r="F107" s="67"/>
      <c r="G107" s="67"/>
      <c r="H107" s="67"/>
      <c r="I107" s="67"/>
      <c r="J107" s="67"/>
      <c r="K107" s="184" t="s">
        <v>1419</v>
      </c>
      <c r="L107" s="67"/>
      <c r="M107" s="67"/>
      <c r="N107" s="67"/>
      <c r="O107" s="185"/>
    </row>
    <row r="108" spans="1:15" x14ac:dyDescent="0.35">
      <c r="A108" s="639"/>
      <c r="B108" s="85" t="s">
        <v>131</v>
      </c>
      <c r="C108" s="169">
        <v>3</v>
      </c>
      <c r="D108" s="67"/>
      <c r="E108" s="184" t="s">
        <v>1419</v>
      </c>
      <c r="F108" s="67"/>
      <c r="G108" s="67"/>
      <c r="H108" s="67"/>
      <c r="I108" s="67"/>
      <c r="J108" s="67"/>
      <c r="K108" s="184" t="s">
        <v>1419</v>
      </c>
      <c r="L108" s="67"/>
      <c r="M108" s="67"/>
      <c r="N108" s="67"/>
      <c r="O108" s="185"/>
    </row>
    <row r="109" spans="1:15" x14ac:dyDescent="0.35">
      <c r="A109" s="639"/>
      <c r="B109" s="85" t="s">
        <v>664</v>
      </c>
      <c r="C109" s="169">
        <v>3</v>
      </c>
      <c r="D109" s="67"/>
      <c r="E109" s="184" t="s">
        <v>1419</v>
      </c>
      <c r="F109" s="67"/>
      <c r="G109" s="67"/>
      <c r="H109" s="67"/>
      <c r="I109" s="67"/>
      <c r="J109" s="67"/>
      <c r="K109" s="184" t="s">
        <v>1419</v>
      </c>
      <c r="L109" s="67"/>
      <c r="M109" s="67"/>
      <c r="N109" s="67"/>
      <c r="O109" s="185"/>
    </row>
    <row r="110" spans="1:15" x14ac:dyDescent="0.35">
      <c r="A110" s="639"/>
      <c r="B110" s="85" t="s">
        <v>999</v>
      </c>
      <c r="C110" s="169">
        <v>3</v>
      </c>
      <c r="D110" s="67"/>
      <c r="E110" s="184" t="s">
        <v>1419</v>
      </c>
      <c r="F110" s="67"/>
      <c r="G110" s="67"/>
      <c r="H110" s="67"/>
      <c r="I110" s="67"/>
      <c r="J110" s="67"/>
      <c r="K110" s="184" t="s">
        <v>1419</v>
      </c>
      <c r="L110" s="67"/>
      <c r="M110" s="67"/>
      <c r="N110" s="67"/>
      <c r="O110" s="185"/>
    </row>
    <row r="111" spans="1:15" x14ac:dyDescent="0.35">
      <c r="A111" s="639"/>
      <c r="B111" s="85" t="s">
        <v>156</v>
      </c>
      <c r="C111" s="169">
        <v>3</v>
      </c>
      <c r="D111" s="67"/>
      <c r="E111" s="67"/>
      <c r="F111" s="67"/>
      <c r="G111" s="184" t="s">
        <v>1419</v>
      </c>
      <c r="H111" s="67"/>
      <c r="I111" s="67"/>
      <c r="J111" s="67"/>
      <c r="K111" s="67"/>
      <c r="L111" s="67"/>
      <c r="M111" s="184" t="s">
        <v>1419</v>
      </c>
      <c r="N111" s="67"/>
      <c r="O111" s="185"/>
    </row>
    <row r="112" spans="1:15" x14ac:dyDescent="0.35">
      <c r="A112" s="639"/>
      <c r="B112" s="85" t="s">
        <v>159</v>
      </c>
      <c r="C112" s="169">
        <v>3</v>
      </c>
      <c r="D112" s="67"/>
      <c r="E112" s="67"/>
      <c r="F112" s="67"/>
      <c r="G112" s="184" t="s">
        <v>1419</v>
      </c>
      <c r="H112" s="67"/>
      <c r="I112" s="67"/>
      <c r="J112" s="67"/>
      <c r="K112" s="67"/>
      <c r="L112" s="67"/>
      <c r="M112" s="184" t="s">
        <v>1419</v>
      </c>
      <c r="N112" s="67"/>
      <c r="O112" s="185"/>
    </row>
    <row r="113" spans="1:15" x14ac:dyDescent="0.35">
      <c r="A113" s="639"/>
      <c r="B113" s="85" t="s">
        <v>161</v>
      </c>
      <c r="C113" s="169">
        <v>3</v>
      </c>
      <c r="D113" s="67"/>
      <c r="E113" s="67"/>
      <c r="F113" s="67"/>
      <c r="G113" s="184" t="s">
        <v>1419</v>
      </c>
      <c r="H113" s="67"/>
      <c r="I113" s="67"/>
      <c r="J113" s="67"/>
      <c r="K113" s="67"/>
      <c r="L113" s="67"/>
      <c r="M113" s="184" t="s">
        <v>1419</v>
      </c>
      <c r="N113" s="67"/>
      <c r="O113" s="185"/>
    </row>
    <row r="114" spans="1:15" x14ac:dyDescent="0.35">
      <c r="A114" s="639"/>
      <c r="B114" s="85" t="s">
        <v>175</v>
      </c>
      <c r="C114" s="173">
        <v>3</v>
      </c>
      <c r="D114" s="67"/>
      <c r="E114" s="67"/>
      <c r="F114" s="67"/>
      <c r="G114" s="184" t="s">
        <v>1419</v>
      </c>
      <c r="H114" s="67"/>
      <c r="I114" s="67"/>
      <c r="J114" s="67"/>
      <c r="K114" s="67"/>
      <c r="L114" s="67"/>
      <c r="M114" s="184" t="s">
        <v>1419</v>
      </c>
      <c r="N114" s="67"/>
      <c r="O114" s="185"/>
    </row>
    <row r="115" spans="1:15" ht="15" thickBot="1" x14ac:dyDescent="0.4">
      <c r="A115" s="640"/>
      <c r="B115" s="176" t="s">
        <v>176</v>
      </c>
      <c r="C115" s="187">
        <v>3</v>
      </c>
      <c r="D115" s="94"/>
      <c r="E115" s="94"/>
      <c r="F115" s="94"/>
      <c r="G115" s="188" t="s">
        <v>1419</v>
      </c>
      <c r="H115" s="94"/>
      <c r="I115" s="94"/>
      <c r="J115" s="94"/>
      <c r="K115" s="94"/>
      <c r="L115" s="94"/>
      <c r="M115" s="188" t="s">
        <v>1419</v>
      </c>
      <c r="N115" s="94"/>
      <c r="O115" s="189"/>
    </row>
    <row r="118" spans="1:15" x14ac:dyDescent="0.35">
      <c r="B118" s="641" t="s">
        <v>1418</v>
      </c>
      <c r="C118" s="641"/>
      <c r="D118" s="192" t="s">
        <v>1405</v>
      </c>
      <c r="E118" s="192" t="s">
        <v>1406</v>
      </c>
      <c r="F118" s="192" t="s">
        <v>1407</v>
      </c>
      <c r="G118" s="192" t="s">
        <v>1408</v>
      </c>
      <c r="H118" s="192" t="s">
        <v>1409</v>
      </c>
      <c r="I118" s="192" t="s">
        <v>1410</v>
      </c>
      <c r="J118" s="192" t="s">
        <v>1411</v>
      </c>
      <c r="K118" s="192" t="s">
        <v>1412</v>
      </c>
      <c r="L118" s="192" t="s">
        <v>1413</v>
      </c>
      <c r="M118" s="192" t="s">
        <v>1414</v>
      </c>
      <c r="N118" s="192" t="s">
        <v>1415</v>
      </c>
      <c r="O118" s="192" t="s">
        <v>1416</v>
      </c>
    </row>
    <row r="119" spans="1:15" x14ac:dyDescent="0.35">
      <c r="B119" s="193" t="s">
        <v>37</v>
      </c>
      <c r="C119" s="169">
        <v>4</v>
      </c>
      <c r="D119" s="192"/>
      <c r="E119" s="192"/>
      <c r="F119" s="192"/>
      <c r="G119" s="192"/>
      <c r="H119" s="192"/>
      <c r="I119" s="192"/>
      <c r="J119" s="192"/>
      <c r="K119" s="192"/>
      <c r="L119" s="192"/>
      <c r="M119" s="195" t="s">
        <v>1419</v>
      </c>
      <c r="N119" s="192"/>
      <c r="O119" s="192"/>
    </row>
    <row r="120" spans="1:15" x14ac:dyDescent="0.35">
      <c r="B120" s="193" t="s">
        <v>35</v>
      </c>
      <c r="C120" s="169">
        <v>4</v>
      </c>
      <c r="D120" s="192"/>
      <c r="E120" s="192"/>
      <c r="F120" s="192"/>
      <c r="G120" s="192"/>
      <c r="H120" s="192"/>
      <c r="I120" s="192"/>
      <c r="J120" s="192"/>
      <c r="K120" s="192"/>
      <c r="L120" s="192"/>
      <c r="M120" s="195" t="s">
        <v>1419</v>
      </c>
      <c r="N120" s="192"/>
      <c r="O120" s="192"/>
    </row>
    <row r="121" spans="1:15" x14ac:dyDescent="0.35">
      <c r="B121" s="193" t="s">
        <v>39</v>
      </c>
      <c r="C121" s="169">
        <v>4</v>
      </c>
      <c r="D121" s="192"/>
      <c r="F121" s="195" t="s">
        <v>1419</v>
      </c>
      <c r="G121" s="192"/>
      <c r="H121" s="192"/>
      <c r="I121" s="192"/>
      <c r="J121" s="192"/>
      <c r="K121" s="192"/>
      <c r="L121" s="192"/>
      <c r="M121" s="192"/>
      <c r="N121" s="192"/>
      <c r="O121" s="192"/>
    </row>
    <row r="122" spans="1:15" x14ac:dyDescent="0.35">
      <c r="B122" s="193" t="s">
        <v>38</v>
      </c>
      <c r="C122" s="169">
        <v>4</v>
      </c>
      <c r="D122" s="195" t="s">
        <v>1419</v>
      </c>
      <c r="E122" s="192"/>
      <c r="F122" s="192"/>
      <c r="G122" s="192"/>
      <c r="H122" s="192"/>
      <c r="I122" s="192"/>
      <c r="J122" s="192"/>
      <c r="K122" s="192"/>
      <c r="L122" s="192"/>
      <c r="M122" s="192"/>
      <c r="N122" s="192"/>
      <c r="O122" s="192"/>
    </row>
    <row r="123" spans="1:15" x14ac:dyDescent="0.35">
      <c r="B123" s="193" t="s">
        <v>41</v>
      </c>
      <c r="C123" s="169">
        <v>4</v>
      </c>
      <c r="D123" s="192"/>
      <c r="E123" s="192"/>
      <c r="F123" s="192"/>
      <c r="H123" s="195" t="s">
        <v>1419</v>
      </c>
      <c r="I123" s="192"/>
      <c r="J123" s="192"/>
      <c r="K123" s="192"/>
      <c r="L123" s="192"/>
      <c r="M123" s="192"/>
      <c r="N123" s="192"/>
      <c r="O123" s="192"/>
    </row>
    <row r="124" spans="1:15" x14ac:dyDescent="0.35">
      <c r="B124" s="193" t="s">
        <v>34</v>
      </c>
      <c r="C124" s="169">
        <v>4</v>
      </c>
      <c r="D124" s="192"/>
      <c r="E124" s="192"/>
      <c r="F124" s="192"/>
      <c r="G124" s="192"/>
      <c r="H124" s="192"/>
      <c r="I124" s="192"/>
      <c r="J124" s="192"/>
      <c r="K124" s="195" t="s">
        <v>1419</v>
      </c>
      <c r="L124" s="192"/>
      <c r="M124" s="192"/>
      <c r="N124" s="192"/>
      <c r="O124" s="192"/>
    </row>
    <row r="125" spans="1:15" x14ac:dyDescent="0.35">
      <c r="B125" s="193" t="s">
        <v>418</v>
      </c>
      <c r="C125" s="169">
        <v>4</v>
      </c>
      <c r="D125" s="192"/>
      <c r="E125" s="192"/>
      <c r="F125" s="192"/>
      <c r="G125" s="192"/>
      <c r="H125" s="192"/>
      <c r="I125" s="192"/>
      <c r="J125" s="192"/>
      <c r="K125" s="192"/>
      <c r="L125" s="192"/>
      <c r="M125" s="192"/>
      <c r="N125" s="195" t="s">
        <v>1419</v>
      </c>
      <c r="O125" s="192"/>
    </row>
    <row r="126" spans="1:15" x14ac:dyDescent="0.35">
      <c r="B126" s="193" t="s">
        <v>47</v>
      </c>
      <c r="C126" s="169">
        <v>4</v>
      </c>
      <c r="D126" s="195" t="s">
        <v>1419</v>
      </c>
      <c r="E126" s="192"/>
      <c r="F126" s="192"/>
      <c r="G126" s="192"/>
      <c r="H126" s="192"/>
      <c r="I126" s="192"/>
      <c r="J126" s="192"/>
      <c r="K126" s="192"/>
      <c r="L126" s="192"/>
      <c r="M126" s="192"/>
      <c r="N126" s="192"/>
      <c r="O126" s="192"/>
    </row>
    <row r="127" spans="1:15" x14ac:dyDescent="0.35">
      <c r="B127" s="193" t="s">
        <v>417</v>
      </c>
      <c r="C127" s="169">
        <v>4</v>
      </c>
      <c r="D127" s="192"/>
      <c r="E127" s="192"/>
      <c r="F127" s="192"/>
      <c r="G127" s="192"/>
      <c r="H127" s="192"/>
      <c r="I127" s="192"/>
      <c r="J127" s="192"/>
      <c r="K127" s="192"/>
      <c r="L127" s="192"/>
      <c r="M127" s="195" t="s">
        <v>1419</v>
      </c>
      <c r="N127" s="192"/>
      <c r="O127" s="192"/>
    </row>
    <row r="128" spans="1:15" x14ac:dyDescent="0.35">
      <c r="B128" s="193" t="s">
        <v>416</v>
      </c>
      <c r="C128" s="169">
        <v>4</v>
      </c>
      <c r="D128" s="195" t="s">
        <v>1419</v>
      </c>
      <c r="E128" s="192"/>
      <c r="F128" s="192"/>
      <c r="G128" s="192"/>
      <c r="H128" s="192"/>
      <c r="I128" s="192"/>
      <c r="J128" s="192"/>
      <c r="K128" s="192"/>
      <c r="L128" s="192"/>
      <c r="M128" s="192"/>
      <c r="N128" s="192"/>
      <c r="O128" s="192"/>
    </row>
    <row r="129" spans="2:15" x14ac:dyDescent="0.35">
      <c r="B129" s="193" t="s">
        <v>419</v>
      </c>
      <c r="C129" s="169">
        <v>4</v>
      </c>
      <c r="D129" s="192"/>
      <c r="E129" s="192"/>
      <c r="F129" s="192"/>
      <c r="G129" s="192"/>
      <c r="H129" s="192"/>
      <c r="I129" s="192"/>
      <c r="J129" s="192"/>
      <c r="K129" s="195" t="s">
        <v>1419</v>
      </c>
      <c r="L129" s="192"/>
      <c r="M129" s="192"/>
      <c r="N129" s="192"/>
      <c r="O129" s="192"/>
    </row>
    <row r="130" spans="2:15" x14ac:dyDescent="0.35">
      <c r="B130" s="193" t="s">
        <v>29</v>
      </c>
      <c r="C130" s="169">
        <v>4</v>
      </c>
      <c r="D130" s="192"/>
      <c r="E130" s="192"/>
      <c r="F130" s="192"/>
      <c r="G130" s="192"/>
      <c r="H130" s="195" t="s">
        <v>1419</v>
      </c>
      <c r="I130" s="192"/>
      <c r="J130" s="192"/>
      <c r="K130" s="192"/>
      <c r="L130" s="192"/>
      <c r="M130" s="192"/>
      <c r="N130" s="192"/>
      <c r="O130" s="192"/>
    </row>
    <row r="131" spans="2:15" x14ac:dyDescent="0.35">
      <c r="B131" s="193" t="s">
        <v>31</v>
      </c>
      <c r="C131" s="169">
        <v>4</v>
      </c>
      <c r="D131" s="192"/>
      <c r="E131" s="192"/>
      <c r="F131" s="192"/>
      <c r="G131" s="192"/>
      <c r="H131" s="192"/>
      <c r="I131" s="192"/>
      <c r="J131" s="192"/>
      <c r="K131" s="192"/>
      <c r="L131" s="192"/>
      <c r="M131" s="192"/>
      <c r="N131" s="195" t="s">
        <v>1419</v>
      </c>
      <c r="O131" s="192"/>
    </row>
    <row r="132" spans="2:15" x14ac:dyDescent="0.35">
      <c r="B132" s="193" t="s">
        <v>32</v>
      </c>
      <c r="C132" s="169">
        <v>4</v>
      </c>
      <c r="D132" s="192"/>
      <c r="E132" s="192"/>
      <c r="F132" s="192"/>
      <c r="G132" s="192"/>
      <c r="H132" s="192"/>
      <c r="I132" s="192"/>
      <c r="J132" s="192"/>
      <c r="K132" s="192"/>
      <c r="L132" s="192"/>
      <c r="M132" s="192"/>
      <c r="N132" s="195" t="s">
        <v>1419</v>
      </c>
      <c r="O132" s="192"/>
    </row>
    <row r="133" spans="2:15" x14ac:dyDescent="0.35">
      <c r="B133" s="193" t="s">
        <v>36</v>
      </c>
      <c r="C133" s="169">
        <v>4</v>
      </c>
      <c r="D133" s="192"/>
      <c r="E133" s="192"/>
      <c r="F133" s="192"/>
      <c r="G133" s="192"/>
      <c r="H133" s="192"/>
      <c r="I133" s="192"/>
      <c r="J133" s="192"/>
      <c r="K133" s="195" t="s">
        <v>1419</v>
      </c>
      <c r="L133" s="192"/>
      <c r="M133" s="192"/>
      <c r="N133" s="192"/>
      <c r="O133" s="192"/>
    </row>
    <row r="134" spans="2:15" x14ac:dyDescent="0.35">
      <c r="B134" s="193" t="s">
        <v>33</v>
      </c>
      <c r="C134" s="169">
        <v>4</v>
      </c>
      <c r="D134" s="192"/>
      <c r="E134" s="192"/>
      <c r="F134" s="192"/>
      <c r="G134" s="192"/>
      <c r="H134" s="192"/>
      <c r="I134" s="192"/>
      <c r="J134" s="192"/>
      <c r="K134" s="192"/>
      <c r="L134" s="192"/>
      <c r="M134" s="192"/>
      <c r="N134" s="195" t="s">
        <v>1419</v>
      </c>
      <c r="O134" s="192"/>
    </row>
    <row r="135" spans="2:15" x14ac:dyDescent="0.35">
      <c r="B135" s="193" t="s">
        <v>46</v>
      </c>
      <c r="C135" s="169">
        <v>4</v>
      </c>
      <c r="D135" s="192"/>
      <c r="E135" s="192"/>
      <c r="F135" s="192"/>
      <c r="G135" s="192"/>
      <c r="H135" s="192"/>
      <c r="I135" s="192"/>
      <c r="J135" s="192"/>
      <c r="K135" s="192"/>
      <c r="L135" s="192"/>
      <c r="N135" s="195" t="s">
        <v>1419</v>
      </c>
      <c r="O135" s="192"/>
    </row>
    <row r="136" spans="2:15" x14ac:dyDescent="0.35">
      <c r="B136" s="193" t="s">
        <v>921</v>
      </c>
      <c r="C136" s="169">
        <v>4</v>
      </c>
      <c r="E136" s="195" t="s">
        <v>1419</v>
      </c>
      <c r="F136" s="192"/>
      <c r="G136" s="192"/>
      <c r="H136" s="192"/>
      <c r="I136" s="192"/>
      <c r="J136" s="192"/>
      <c r="K136" s="192"/>
      <c r="L136" s="192"/>
      <c r="M136" s="192"/>
      <c r="N136" s="192"/>
      <c r="O136" s="192"/>
    </row>
    <row r="137" spans="2:15" x14ac:dyDescent="0.35">
      <c r="B137" s="193" t="s">
        <v>920</v>
      </c>
      <c r="C137" s="169">
        <v>4</v>
      </c>
      <c r="E137" s="195" t="s">
        <v>1419</v>
      </c>
      <c r="F137" s="192"/>
      <c r="G137" s="192"/>
      <c r="H137" s="192"/>
      <c r="I137" s="192"/>
      <c r="J137" s="192"/>
      <c r="K137" s="192"/>
      <c r="L137" s="192"/>
      <c r="M137" s="192"/>
      <c r="N137" s="192"/>
      <c r="O137" s="192"/>
    </row>
    <row r="138" spans="2:15" x14ac:dyDescent="0.35">
      <c r="B138" s="193" t="s">
        <v>48</v>
      </c>
      <c r="C138" s="169">
        <v>4</v>
      </c>
      <c r="E138" s="195" t="s">
        <v>1419</v>
      </c>
      <c r="F138" s="192"/>
      <c r="G138" s="192"/>
      <c r="H138" s="192"/>
      <c r="I138" s="192"/>
      <c r="J138" s="192"/>
      <c r="K138" s="192"/>
      <c r="L138" s="192"/>
      <c r="M138" s="192"/>
      <c r="N138" s="192"/>
      <c r="O138" s="192"/>
    </row>
    <row r="139" spans="2:15" x14ac:dyDescent="0.35">
      <c r="B139" s="193" t="s">
        <v>61</v>
      </c>
      <c r="C139" s="169">
        <v>4</v>
      </c>
      <c r="E139" s="195" t="s">
        <v>1419</v>
      </c>
      <c r="F139" s="192"/>
      <c r="G139" s="192"/>
      <c r="H139" s="192"/>
      <c r="I139" s="192"/>
      <c r="J139" s="192"/>
      <c r="K139" s="192"/>
      <c r="L139" s="192"/>
      <c r="M139" s="192"/>
      <c r="N139" s="192"/>
      <c r="O139" s="192"/>
    </row>
    <row r="140" spans="2:15" x14ac:dyDescent="0.35">
      <c r="B140" s="193" t="s">
        <v>62</v>
      </c>
      <c r="C140" s="169">
        <v>4</v>
      </c>
      <c r="D140" s="192"/>
      <c r="E140" s="192"/>
      <c r="F140" s="192"/>
      <c r="G140" s="192"/>
      <c r="H140" s="195" t="s">
        <v>1419</v>
      </c>
      <c r="I140" s="192"/>
      <c r="J140" s="192"/>
      <c r="K140" s="192"/>
      <c r="L140" s="192"/>
      <c r="M140" s="192"/>
      <c r="N140" s="192"/>
      <c r="O140" s="192"/>
    </row>
    <row r="141" spans="2:15" x14ac:dyDescent="0.35">
      <c r="B141" s="193" t="s">
        <v>63</v>
      </c>
      <c r="C141" s="169">
        <v>4</v>
      </c>
      <c r="D141" s="192"/>
      <c r="E141" s="192"/>
      <c r="F141" s="192"/>
      <c r="G141" s="192"/>
      <c r="H141" s="192"/>
      <c r="I141" s="192"/>
      <c r="J141" s="192"/>
      <c r="K141" s="195" t="s">
        <v>1419</v>
      </c>
      <c r="L141" s="192"/>
      <c r="M141" s="192"/>
      <c r="N141" s="192"/>
      <c r="O141" s="192"/>
    </row>
    <row r="142" spans="2:15" x14ac:dyDescent="0.35">
      <c r="B142" s="193" t="s">
        <v>64</v>
      </c>
      <c r="C142" s="169">
        <v>4</v>
      </c>
      <c r="D142" s="192"/>
      <c r="E142" s="192"/>
      <c r="F142" s="192"/>
      <c r="G142" s="192"/>
      <c r="H142" s="192"/>
      <c r="I142" s="192"/>
      <c r="J142" s="192"/>
      <c r="K142" s="195" t="s">
        <v>1419</v>
      </c>
      <c r="L142" s="192"/>
      <c r="M142" s="192"/>
      <c r="N142" s="192"/>
      <c r="O142" s="192"/>
    </row>
    <row r="143" spans="2:15" x14ac:dyDescent="0.35">
      <c r="B143" s="193" t="s">
        <v>51</v>
      </c>
      <c r="C143" s="169">
        <v>4</v>
      </c>
      <c r="E143" s="195" t="s">
        <v>1419</v>
      </c>
      <c r="F143" s="192"/>
      <c r="G143" s="192"/>
      <c r="H143" s="192"/>
      <c r="I143" s="192"/>
      <c r="J143" s="192"/>
      <c r="K143" s="192"/>
      <c r="L143" s="192"/>
      <c r="M143" s="192"/>
      <c r="N143" s="192"/>
      <c r="O143" s="192"/>
    </row>
    <row r="144" spans="2:15" x14ac:dyDescent="0.35">
      <c r="B144" s="193" t="s">
        <v>52</v>
      </c>
      <c r="C144" s="169">
        <v>4</v>
      </c>
      <c r="E144" s="192"/>
      <c r="F144" s="192"/>
      <c r="G144" s="192"/>
      <c r="H144" s="192"/>
      <c r="I144" s="192"/>
      <c r="J144" s="192"/>
      <c r="K144" s="192"/>
      <c r="L144" s="192"/>
      <c r="M144" s="192"/>
      <c r="N144" s="195" t="s">
        <v>1419</v>
      </c>
      <c r="O144" s="192"/>
    </row>
    <row r="145" spans="2:15" x14ac:dyDescent="0.35">
      <c r="B145" s="193" t="s">
        <v>54</v>
      </c>
      <c r="C145" s="169">
        <v>4</v>
      </c>
      <c r="E145" s="195" t="s">
        <v>1419</v>
      </c>
      <c r="F145" s="192"/>
      <c r="G145" s="192"/>
      <c r="H145" s="192"/>
      <c r="I145" s="192"/>
      <c r="J145" s="192"/>
      <c r="K145" s="192"/>
      <c r="L145" s="192"/>
      <c r="M145" s="192"/>
      <c r="N145" s="192"/>
      <c r="O145" s="192"/>
    </row>
    <row r="146" spans="2:15" x14ac:dyDescent="0.35">
      <c r="B146" s="193" t="s">
        <v>424</v>
      </c>
      <c r="C146" s="169">
        <v>4</v>
      </c>
      <c r="D146" s="192"/>
      <c r="F146" s="195" t="s">
        <v>1419</v>
      </c>
      <c r="G146" s="192"/>
      <c r="H146" s="192"/>
      <c r="I146" s="192"/>
      <c r="J146" s="192"/>
      <c r="K146" s="192"/>
      <c r="L146" s="192"/>
      <c r="M146" s="192"/>
      <c r="N146" s="192"/>
      <c r="O146" s="192"/>
    </row>
    <row r="147" spans="2:15" x14ac:dyDescent="0.35">
      <c r="B147" s="193" t="s">
        <v>56</v>
      </c>
      <c r="C147" s="169">
        <v>4</v>
      </c>
      <c r="D147" s="192"/>
      <c r="E147" s="192"/>
      <c r="F147" s="192"/>
      <c r="G147" s="192"/>
      <c r="H147" s="192"/>
      <c r="I147" s="192"/>
      <c r="J147" s="192"/>
      <c r="K147" s="195" t="s">
        <v>1419</v>
      </c>
      <c r="L147" s="192"/>
      <c r="M147" s="192"/>
      <c r="N147" s="192"/>
      <c r="O147" s="192"/>
    </row>
    <row r="148" spans="2:15" x14ac:dyDescent="0.35">
      <c r="B148" s="193" t="s">
        <v>57</v>
      </c>
      <c r="C148" s="169">
        <v>4</v>
      </c>
      <c r="D148" s="192"/>
      <c r="E148" s="192"/>
      <c r="F148" s="192"/>
      <c r="G148" s="192"/>
      <c r="H148" s="192"/>
      <c r="I148" s="192"/>
      <c r="J148" s="192"/>
      <c r="K148" s="195" t="s">
        <v>1419</v>
      </c>
      <c r="L148" s="192"/>
      <c r="M148" s="192"/>
      <c r="N148" s="192"/>
      <c r="O148" s="192"/>
    </row>
    <row r="149" spans="2:15" x14ac:dyDescent="0.35">
      <c r="B149" s="193" t="s">
        <v>58</v>
      </c>
      <c r="C149" s="169">
        <v>4</v>
      </c>
      <c r="D149" s="192"/>
      <c r="E149" s="192"/>
      <c r="F149" s="192"/>
      <c r="G149" s="192"/>
      <c r="H149" s="192"/>
      <c r="I149" s="192"/>
      <c r="J149" s="192"/>
      <c r="K149" s="195" t="s">
        <v>1419</v>
      </c>
      <c r="L149" s="192"/>
      <c r="M149" s="192"/>
      <c r="N149" s="192"/>
      <c r="O149" s="192"/>
    </row>
    <row r="150" spans="2:15" x14ac:dyDescent="0.35">
      <c r="B150" s="193" t="s">
        <v>59</v>
      </c>
      <c r="C150" s="169">
        <v>4</v>
      </c>
      <c r="D150" s="192"/>
      <c r="E150" s="192"/>
      <c r="F150" s="192"/>
      <c r="G150" s="192"/>
      <c r="H150" s="192"/>
      <c r="I150" s="192"/>
      <c r="J150" s="192"/>
      <c r="K150" s="195" t="s">
        <v>1419</v>
      </c>
      <c r="L150" s="192"/>
      <c r="M150" s="192"/>
      <c r="N150" s="192"/>
      <c r="O150" s="192"/>
    </row>
    <row r="151" spans="2:15" x14ac:dyDescent="0.35">
      <c r="B151" s="193" t="s">
        <v>425</v>
      </c>
      <c r="C151" s="169">
        <v>4</v>
      </c>
      <c r="D151" s="192"/>
      <c r="F151" s="195" t="s">
        <v>1419</v>
      </c>
      <c r="G151" s="192"/>
      <c r="H151" s="192"/>
      <c r="I151" s="192"/>
      <c r="J151" s="192"/>
      <c r="K151" s="192"/>
      <c r="L151" s="192"/>
      <c r="M151" s="192"/>
      <c r="N151" s="192"/>
      <c r="O151" s="192"/>
    </row>
    <row r="152" spans="2:15" x14ac:dyDescent="0.35">
      <c r="B152" s="193" t="s">
        <v>426</v>
      </c>
      <c r="C152" s="169">
        <v>4</v>
      </c>
      <c r="D152" s="192"/>
      <c r="E152" s="192"/>
      <c r="F152" s="192"/>
      <c r="G152" s="192"/>
      <c r="H152" s="192"/>
      <c r="I152" s="192"/>
      <c r="J152" s="192"/>
      <c r="K152" s="195" t="s">
        <v>1419</v>
      </c>
      <c r="L152" s="192"/>
      <c r="M152" s="192"/>
      <c r="N152" s="192"/>
      <c r="O152" s="192"/>
    </row>
    <row r="153" spans="2:15" x14ac:dyDescent="0.35">
      <c r="B153" s="193" t="s">
        <v>427</v>
      </c>
      <c r="C153" s="169">
        <v>4</v>
      </c>
      <c r="D153" s="192"/>
      <c r="E153" s="192"/>
      <c r="F153" s="192"/>
      <c r="G153" s="192"/>
      <c r="H153" s="192"/>
      <c r="I153" s="192"/>
      <c r="J153" s="192"/>
      <c r="K153" s="195" t="s">
        <v>1419</v>
      </c>
      <c r="L153" s="192"/>
      <c r="M153" s="192"/>
      <c r="N153" s="192"/>
      <c r="O153" s="192"/>
    </row>
    <row r="154" spans="2:15" x14ac:dyDescent="0.35">
      <c r="B154" s="193" t="s">
        <v>428</v>
      </c>
      <c r="C154" s="169">
        <v>4</v>
      </c>
      <c r="D154" s="192"/>
      <c r="E154" s="192"/>
      <c r="F154" s="192"/>
      <c r="G154" s="192"/>
      <c r="H154" s="192"/>
      <c r="I154" s="192"/>
      <c r="J154" s="192"/>
      <c r="K154" s="192"/>
      <c r="L154" s="192"/>
      <c r="M154" s="192"/>
      <c r="N154" s="192"/>
      <c r="O154" s="195" t="s">
        <v>1419</v>
      </c>
    </row>
    <row r="155" spans="2:15" x14ac:dyDescent="0.35">
      <c r="B155" s="193" t="s">
        <v>595</v>
      </c>
      <c r="C155" s="191">
        <v>4</v>
      </c>
      <c r="D155" s="192"/>
      <c r="F155" s="195" t="s">
        <v>1419</v>
      </c>
      <c r="G155" s="192"/>
      <c r="H155" s="192"/>
      <c r="I155" s="192"/>
      <c r="J155" s="192"/>
      <c r="K155" s="192"/>
      <c r="L155" s="192"/>
      <c r="M155" s="192"/>
      <c r="N155" s="192"/>
      <c r="O155" s="192"/>
    </row>
    <row r="156" spans="2:15" x14ac:dyDescent="0.35">
      <c r="B156" s="193" t="s">
        <v>596</v>
      </c>
      <c r="C156" s="191">
        <v>4</v>
      </c>
      <c r="D156" s="192"/>
      <c r="E156" s="192"/>
      <c r="G156" s="195" t="s">
        <v>1419</v>
      </c>
      <c r="H156" s="192"/>
      <c r="I156" s="192"/>
      <c r="J156" s="192"/>
      <c r="K156" s="192"/>
      <c r="L156" s="192"/>
      <c r="M156" s="192"/>
      <c r="N156" s="192"/>
      <c r="O156" s="192"/>
    </row>
    <row r="157" spans="2:15" x14ac:dyDescent="0.35">
      <c r="B157" s="193" t="s">
        <v>18</v>
      </c>
      <c r="C157" s="169">
        <v>4</v>
      </c>
      <c r="D157" s="192"/>
      <c r="E157" s="192"/>
      <c r="F157" s="192"/>
      <c r="G157" s="192"/>
      <c r="H157" s="192"/>
      <c r="I157" s="195" t="s">
        <v>1419</v>
      </c>
      <c r="J157" s="192"/>
      <c r="K157" s="192"/>
      <c r="L157" s="192"/>
      <c r="M157" s="192"/>
      <c r="N157" s="192"/>
      <c r="O157" s="192"/>
    </row>
    <row r="158" spans="2:15" x14ac:dyDescent="0.35">
      <c r="B158" s="193" t="s">
        <v>23</v>
      </c>
      <c r="C158" s="169">
        <v>4</v>
      </c>
      <c r="D158" s="192"/>
      <c r="E158" s="192"/>
      <c r="F158" s="192"/>
      <c r="G158" s="192"/>
      <c r="H158" s="192"/>
      <c r="J158" s="192"/>
      <c r="K158" s="195" t="s">
        <v>1419</v>
      </c>
      <c r="L158" s="192"/>
      <c r="M158" s="192"/>
      <c r="N158" s="192"/>
      <c r="O158" s="192"/>
    </row>
    <row r="159" spans="2:15" x14ac:dyDescent="0.35">
      <c r="B159" s="193" t="s">
        <v>432</v>
      </c>
      <c r="C159" s="169">
        <v>4</v>
      </c>
      <c r="D159" s="192"/>
      <c r="E159" s="192"/>
      <c r="F159" s="192"/>
      <c r="G159" s="192"/>
      <c r="H159" s="192"/>
      <c r="J159" s="192"/>
      <c r="K159" s="192"/>
      <c r="L159" s="192"/>
      <c r="M159" s="192"/>
      <c r="N159" s="192"/>
      <c r="O159" s="195" t="s">
        <v>1419</v>
      </c>
    </row>
    <row r="160" spans="2:15" x14ac:dyDescent="0.35">
      <c r="B160" s="193" t="s">
        <v>433</v>
      </c>
      <c r="C160" s="169">
        <v>4</v>
      </c>
      <c r="D160" s="192"/>
      <c r="E160" s="192"/>
      <c r="F160" s="192"/>
      <c r="G160" s="192"/>
      <c r="H160" s="192"/>
      <c r="J160" s="192"/>
      <c r="K160" s="192"/>
      <c r="L160" s="192"/>
      <c r="M160" s="195" t="s">
        <v>1419</v>
      </c>
      <c r="N160" s="192"/>
      <c r="O160" s="192"/>
    </row>
    <row r="161" spans="2:15" x14ac:dyDescent="0.35">
      <c r="B161" s="193" t="s">
        <v>75</v>
      </c>
      <c r="C161" s="169">
        <v>4</v>
      </c>
      <c r="D161" s="192"/>
      <c r="E161" s="192"/>
      <c r="F161" s="192"/>
      <c r="G161" s="192"/>
      <c r="H161" s="192"/>
      <c r="J161" s="192"/>
      <c r="K161" s="192"/>
      <c r="L161" s="195" t="s">
        <v>1419</v>
      </c>
      <c r="M161" s="192"/>
      <c r="N161" s="192"/>
      <c r="O161" s="192"/>
    </row>
    <row r="162" spans="2:15" x14ac:dyDescent="0.35">
      <c r="B162" s="193" t="s">
        <v>79</v>
      </c>
      <c r="C162" s="169">
        <v>4</v>
      </c>
      <c r="D162" s="192"/>
      <c r="E162" s="192"/>
      <c r="F162" s="192"/>
      <c r="G162" s="192"/>
      <c r="H162" s="192"/>
      <c r="J162" s="192"/>
      <c r="K162" s="192"/>
      <c r="L162" s="195" t="s">
        <v>1419</v>
      </c>
      <c r="M162" s="192"/>
      <c r="N162" s="192"/>
      <c r="O162" s="192"/>
    </row>
    <row r="163" spans="2:15" x14ac:dyDescent="0.35">
      <c r="B163" s="193" t="s">
        <v>81</v>
      </c>
      <c r="C163" s="169">
        <v>4</v>
      </c>
      <c r="D163" s="192"/>
      <c r="E163" s="192"/>
      <c r="F163" s="192"/>
      <c r="G163" s="192"/>
      <c r="H163" s="192"/>
      <c r="J163" s="192"/>
      <c r="K163" s="192"/>
      <c r="L163" s="195" t="s">
        <v>1419</v>
      </c>
      <c r="M163" s="192"/>
      <c r="N163" s="192"/>
      <c r="O163" s="192"/>
    </row>
    <row r="164" spans="2:15" x14ac:dyDescent="0.35">
      <c r="B164" s="193" t="s">
        <v>83</v>
      </c>
      <c r="C164" s="169">
        <v>4</v>
      </c>
      <c r="D164" s="192"/>
      <c r="E164" s="192"/>
      <c r="F164" s="192"/>
      <c r="G164" s="192"/>
      <c r="H164" s="192"/>
      <c r="J164" s="192"/>
      <c r="K164" s="192"/>
      <c r="L164" s="195" t="s">
        <v>1419</v>
      </c>
      <c r="M164" s="192"/>
      <c r="N164" s="192"/>
      <c r="O164" s="192"/>
    </row>
    <row r="165" spans="2:15" x14ac:dyDescent="0.35">
      <c r="B165" s="193" t="s">
        <v>85</v>
      </c>
      <c r="C165" s="169">
        <v>4</v>
      </c>
      <c r="D165" s="192"/>
      <c r="E165" s="192"/>
      <c r="F165" s="192"/>
      <c r="G165" s="192"/>
      <c r="H165" s="192"/>
      <c r="J165" s="192"/>
      <c r="K165" s="192"/>
      <c r="L165" s="195" t="s">
        <v>1419</v>
      </c>
      <c r="M165" s="192"/>
      <c r="N165" s="192"/>
      <c r="O165" s="192"/>
    </row>
    <row r="166" spans="2:15" x14ac:dyDescent="0.35">
      <c r="B166" s="193" t="s">
        <v>87</v>
      </c>
      <c r="C166" s="169">
        <v>4</v>
      </c>
      <c r="D166" s="192"/>
      <c r="E166" s="192"/>
      <c r="F166" s="192"/>
      <c r="G166" s="192"/>
      <c r="H166" s="192"/>
      <c r="J166" s="192"/>
      <c r="K166" s="192"/>
      <c r="L166" s="195" t="s">
        <v>1419</v>
      </c>
      <c r="M166" s="192"/>
      <c r="N166" s="192"/>
      <c r="O166" s="192"/>
    </row>
    <row r="167" spans="2:15" x14ac:dyDescent="0.35">
      <c r="B167" s="193" t="s">
        <v>89</v>
      </c>
      <c r="C167" s="169">
        <v>4</v>
      </c>
      <c r="E167" s="195" t="s">
        <v>1419</v>
      </c>
      <c r="F167" s="192"/>
      <c r="G167" s="192"/>
      <c r="H167" s="192"/>
      <c r="J167" s="192"/>
      <c r="K167" s="192"/>
      <c r="L167" s="192"/>
      <c r="M167" s="192"/>
      <c r="N167" s="192"/>
      <c r="O167" s="192"/>
    </row>
    <row r="168" spans="2:15" x14ac:dyDescent="0.35">
      <c r="B168" s="193" t="s">
        <v>91</v>
      </c>
      <c r="C168" s="169">
        <v>4</v>
      </c>
      <c r="E168" s="192"/>
      <c r="F168" s="192"/>
      <c r="G168" s="192"/>
      <c r="H168" s="192"/>
      <c r="J168" s="192"/>
      <c r="K168" s="192"/>
      <c r="L168" s="192"/>
      <c r="M168" s="192"/>
      <c r="N168" s="192"/>
      <c r="O168" s="195" t="s">
        <v>1419</v>
      </c>
    </row>
    <row r="169" spans="2:15" x14ac:dyDescent="0.35">
      <c r="B169" s="193" t="s">
        <v>975</v>
      </c>
      <c r="C169" s="169">
        <v>4</v>
      </c>
      <c r="E169" s="195" t="s">
        <v>1419</v>
      </c>
      <c r="F169" s="192"/>
      <c r="G169" s="192"/>
      <c r="H169" s="192"/>
      <c r="J169" s="192"/>
      <c r="K169" s="192"/>
      <c r="L169" s="192"/>
      <c r="M169" s="192"/>
      <c r="N169" s="192"/>
      <c r="O169" s="192"/>
    </row>
    <row r="170" spans="2:15" x14ac:dyDescent="0.35">
      <c r="B170" s="193" t="s">
        <v>976</v>
      </c>
      <c r="C170" s="169">
        <v>4</v>
      </c>
      <c r="E170" s="195" t="s">
        <v>1419</v>
      </c>
      <c r="F170" s="192"/>
      <c r="H170" s="192"/>
      <c r="J170" s="192"/>
      <c r="K170" s="192"/>
      <c r="L170" s="192"/>
      <c r="M170" s="192"/>
      <c r="N170" s="192"/>
      <c r="O170" s="192"/>
    </row>
    <row r="171" spans="2:15" x14ac:dyDescent="0.35">
      <c r="B171" s="194" t="s">
        <v>194</v>
      </c>
      <c r="C171" s="169">
        <v>4</v>
      </c>
      <c r="D171" s="192"/>
      <c r="E171" s="192"/>
      <c r="G171" s="195" t="s">
        <v>1419</v>
      </c>
      <c r="H171" s="192"/>
      <c r="J171" s="192"/>
      <c r="K171" s="192"/>
      <c r="L171" s="192"/>
      <c r="M171" s="192"/>
      <c r="N171" s="192"/>
      <c r="O171" s="192"/>
    </row>
    <row r="172" spans="2:15" x14ac:dyDescent="0.35">
      <c r="B172" s="194" t="s">
        <v>214</v>
      </c>
      <c r="C172" s="169">
        <v>4</v>
      </c>
      <c r="D172" s="192"/>
      <c r="E172" s="192"/>
      <c r="F172" s="192"/>
      <c r="G172" s="192"/>
      <c r="I172" s="195" t="s">
        <v>1419</v>
      </c>
      <c r="J172" s="192"/>
      <c r="K172" s="192"/>
      <c r="L172" s="192"/>
      <c r="M172" s="192"/>
      <c r="N172" s="192"/>
      <c r="O172" s="192"/>
    </row>
    <row r="173" spans="2:15" x14ac:dyDescent="0.35">
      <c r="B173" s="194" t="s">
        <v>216</v>
      </c>
      <c r="C173" s="169">
        <v>4</v>
      </c>
      <c r="D173" s="192"/>
      <c r="E173" s="192"/>
      <c r="F173" s="192"/>
      <c r="G173" s="192"/>
      <c r="I173" s="195" t="s">
        <v>1419</v>
      </c>
      <c r="J173" s="192"/>
      <c r="K173" s="192"/>
      <c r="L173" s="192"/>
      <c r="M173" s="192"/>
      <c r="N173" s="192"/>
      <c r="O173" s="192"/>
    </row>
    <row r="174" spans="2:15" x14ac:dyDescent="0.35">
      <c r="B174" s="194" t="s">
        <v>218</v>
      </c>
      <c r="C174" s="169">
        <v>4</v>
      </c>
      <c r="D174" s="192"/>
      <c r="E174" s="192"/>
      <c r="F174" s="192"/>
      <c r="G174" s="192"/>
      <c r="I174" s="195" t="s">
        <v>1419</v>
      </c>
      <c r="J174" s="192"/>
      <c r="K174" s="192"/>
      <c r="L174" s="192"/>
      <c r="M174" s="192"/>
      <c r="N174" s="192"/>
      <c r="O174" s="192"/>
    </row>
    <row r="175" spans="2:15" x14ac:dyDescent="0.35">
      <c r="B175" s="194" t="s">
        <v>220</v>
      </c>
      <c r="C175" s="169">
        <v>4</v>
      </c>
      <c r="D175" s="192"/>
      <c r="E175" s="192"/>
      <c r="G175" s="195" t="s">
        <v>1419</v>
      </c>
      <c r="I175" s="192"/>
      <c r="J175" s="192"/>
      <c r="K175" s="192"/>
      <c r="L175" s="192"/>
      <c r="M175" s="192"/>
      <c r="N175" s="192"/>
      <c r="O175" s="192"/>
    </row>
    <row r="176" spans="2:15" x14ac:dyDescent="0.35">
      <c r="B176" s="194" t="s">
        <v>222</v>
      </c>
      <c r="C176" s="169">
        <v>4</v>
      </c>
      <c r="D176" s="192"/>
      <c r="E176" s="192"/>
      <c r="F176" s="192"/>
      <c r="G176" s="192"/>
      <c r="I176" s="195" t="s">
        <v>1419</v>
      </c>
      <c r="J176" s="192"/>
      <c r="K176" s="192"/>
      <c r="L176" s="192"/>
      <c r="M176" s="192"/>
      <c r="N176" s="192"/>
      <c r="O176" s="192"/>
    </row>
    <row r="177" spans="2:15" x14ac:dyDescent="0.35">
      <c r="B177" s="194" t="s">
        <v>224</v>
      </c>
      <c r="C177" s="169">
        <v>4</v>
      </c>
      <c r="D177" s="192"/>
      <c r="E177" s="192"/>
      <c r="F177" s="192"/>
      <c r="G177" s="192"/>
      <c r="I177" s="195" t="s">
        <v>1419</v>
      </c>
      <c r="J177" s="192"/>
      <c r="K177" s="192"/>
      <c r="L177" s="192"/>
      <c r="M177" s="192"/>
      <c r="N177" s="192"/>
      <c r="O177" s="192"/>
    </row>
    <row r="178" spans="2:15" x14ac:dyDescent="0.35">
      <c r="B178" s="194" t="s">
        <v>226</v>
      </c>
      <c r="C178" s="169">
        <v>4</v>
      </c>
      <c r="D178" s="192"/>
      <c r="E178" s="192"/>
      <c r="F178" s="192"/>
      <c r="G178" s="192"/>
      <c r="I178" s="195" t="s">
        <v>1419</v>
      </c>
      <c r="J178" s="192"/>
      <c r="K178" s="192"/>
      <c r="L178" s="192"/>
      <c r="M178" s="192"/>
      <c r="N178" s="192"/>
      <c r="O178" s="192"/>
    </row>
    <row r="179" spans="2:15" x14ac:dyDescent="0.35">
      <c r="B179" s="194" t="s">
        <v>198</v>
      </c>
      <c r="C179" s="169">
        <v>4</v>
      </c>
      <c r="D179" s="192"/>
      <c r="E179" s="192"/>
      <c r="F179" s="192"/>
      <c r="G179" s="192"/>
      <c r="I179" s="195" t="s">
        <v>1419</v>
      </c>
      <c r="J179" s="192"/>
      <c r="K179" s="192"/>
      <c r="L179" s="192"/>
      <c r="M179" s="192"/>
      <c r="N179" s="192"/>
      <c r="O179" s="192"/>
    </row>
    <row r="180" spans="2:15" x14ac:dyDescent="0.35">
      <c r="B180" s="194" t="s">
        <v>200</v>
      </c>
      <c r="C180" s="169">
        <v>4</v>
      </c>
      <c r="D180" s="192"/>
      <c r="E180" s="192"/>
      <c r="G180" s="195" t="s">
        <v>1419</v>
      </c>
      <c r="I180" s="192"/>
      <c r="J180" s="192"/>
      <c r="K180" s="192"/>
      <c r="L180" s="192"/>
      <c r="M180" s="192"/>
      <c r="N180" s="192"/>
      <c r="O180" s="192"/>
    </row>
    <row r="181" spans="2:15" x14ac:dyDescent="0.35">
      <c r="B181" s="194" t="s">
        <v>202</v>
      </c>
      <c r="C181" s="169">
        <v>4</v>
      </c>
      <c r="D181" s="192"/>
      <c r="E181" s="192"/>
      <c r="G181" s="195" t="s">
        <v>1419</v>
      </c>
      <c r="I181" s="192"/>
      <c r="J181" s="192"/>
      <c r="K181" s="192"/>
      <c r="L181" s="192"/>
      <c r="M181" s="192"/>
      <c r="N181" s="192"/>
      <c r="O181" s="192"/>
    </row>
    <row r="182" spans="2:15" x14ac:dyDescent="0.35">
      <c r="B182" s="194" t="s">
        <v>204</v>
      </c>
      <c r="C182" s="169">
        <v>4</v>
      </c>
      <c r="D182" s="192"/>
      <c r="E182" s="192"/>
      <c r="F182" s="192"/>
      <c r="G182" s="192"/>
      <c r="I182" s="195" t="s">
        <v>1419</v>
      </c>
      <c r="J182" s="192"/>
      <c r="K182" s="192"/>
      <c r="L182" s="192"/>
      <c r="M182" s="192"/>
      <c r="N182" s="192"/>
      <c r="O182" s="192"/>
    </row>
    <row r="183" spans="2:15" x14ac:dyDescent="0.35">
      <c r="B183" s="194" t="s">
        <v>206</v>
      </c>
      <c r="C183" s="169">
        <v>4</v>
      </c>
      <c r="D183" s="192"/>
      <c r="E183" s="192"/>
      <c r="F183" s="192"/>
      <c r="G183" s="192"/>
      <c r="I183" s="195" t="s">
        <v>1419</v>
      </c>
      <c r="J183" s="192"/>
      <c r="K183" s="192"/>
      <c r="L183" s="192"/>
      <c r="M183" s="192"/>
      <c r="N183" s="192"/>
      <c r="O183" s="192"/>
    </row>
    <row r="184" spans="2:15" x14ac:dyDescent="0.35">
      <c r="B184" s="194" t="s">
        <v>208</v>
      </c>
      <c r="C184" s="169">
        <v>4</v>
      </c>
      <c r="D184" s="192"/>
      <c r="E184" s="192"/>
      <c r="G184" s="195" t="s">
        <v>1419</v>
      </c>
      <c r="I184" s="192"/>
      <c r="J184" s="192"/>
      <c r="K184" s="192"/>
      <c r="L184" s="192"/>
      <c r="M184" s="192"/>
      <c r="N184" s="192"/>
      <c r="O184" s="192"/>
    </row>
    <row r="185" spans="2:15" x14ac:dyDescent="0.35">
      <c r="B185" s="194" t="s">
        <v>210</v>
      </c>
      <c r="C185" s="169">
        <v>4</v>
      </c>
      <c r="D185" s="192"/>
      <c r="E185" s="192"/>
      <c r="F185" s="192"/>
      <c r="G185" s="192"/>
      <c r="I185" s="195" t="s">
        <v>1419</v>
      </c>
      <c r="J185" s="192"/>
      <c r="K185" s="192"/>
      <c r="L185" s="192"/>
      <c r="M185" s="192"/>
      <c r="N185" s="192"/>
      <c r="O185" s="192"/>
    </row>
    <row r="186" spans="2:15" x14ac:dyDescent="0.35">
      <c r="B186" s="194" t="s">
        <v>212</v>
      </c>
      <c r="C186" s="169">
        <v>4</v>
      </c>
      <c r="D186" s="192"/>
      <c r="E186" s="192"/>
      <c r="F186" s="192"/>
      <c r="G186" s="192"/>
      <c r="I186" s="195" t="s">
        <v>1419</v>
      </c>
      <c r="J186" s="192"/>
      <c r="K186" s="192"/>
      <c r="L186" s="192"/>
      <c r="M186" s="192"/>
      <c r="N186" s="192"/>
      <c r="O186" s="192"/>
    </row>
    <row r="187" spans="2:15" x14ac:dyDescent="0.35">
      <c r="B187" s="194" t="s">
        <v>228</v>
      </c>
      <c r="C187" s="169">
        <v>4</v>
      </c>
      <c r="D187" s="192"/>
      <c r="E187" s="192"/>
      <c r="F187" s="192"/>
      <c r="G187" s="192"/>
      <c r="H187" s="195" t="s">
        <v>1419</v>
      </c>
      <c r="J187" s="192"/>
      <c r="K187" s="192"/>
      <c r="L187" s="192"/>
      <c r="M187" s="192"/>
      <c r="N187" s="192"/>
      <c r="O187" s="192"/>
    </row>
    <row r="188" spans="2:15" x14ac:dyDescent="0.35">
      <c r="B188" s="194" t="s">
        <v>461</v>
      </c>
      <c r="C188" s="169">
        <v>4</v>
      </c>
      <c r="D188" s="192"/>
      <c r="E188" s="192"/>
      <c r="G188" s="195" t="s">
        <v>1419</v>
      </c>
      <c r="H188" s="192"/>
      <c r="J188" s="192"/>
      <c r="K188" s="192"/>
      <c r="L188" s="192"/>
      <c r="M188" s="192"/>
      <c r="N188" s="192"/>
      <c r="O188" s="192"/>
    </row>
    <row r="189" spans="2:15" x14ac:dyDescent="0.35">
      <c r="B189" s="194" t="s">
        <v>233</v>
      </c>
      <c r="C189" s="169">
        <v>4</v>
      </c>
      <c r="D189" s="192"/>
      <c r="E189" s="192"/>
      <c r="G189" s="195" t="s">
        <v>1419</v>
      </c>
      <c r="H189" s="192"/>
      <c r="J189" s="192"/>
      <c r="K189" s="192"/>
      <c r="L189" s="192"/>
      <c r="M189" s="192"/>
      <c r="N189" s="192"/>
      <c r="O189" s="192"/>
    </row>
    <row r="190" spans="2:15" x14ac:dyDescent="0.35">
      <c r="B190" s="194" t="s">
        <v>319</v>
      </c>
      <c r="C190" s="171">
        <v>4</v>
      </c>
      <c r="D190" s="192"/>
      <c r="E190" s="192"/>
      <c r="F190" s="192"/>
      <c r="G190" s="192"/>
      <c r="H190" s="192"/>
      <c r="J190" s="192"/>
      <c r="K190" s="192"/>
      <c r="L190" s="192"/>
      <c r="M190" s="195" t="s">
        <v>1419</v>
      </c>
      <c r="N190" s="192"/>
      <c r="O190" s="192"/>
    </row>
    <row r="191" spans="2:15" x14ac:dyDescent="0.35">
      <c r="B191" s="194" t="s">
        <v>320</v>
      </c>
      <c r="C191" s="171">
        <v>4</v>
      </c>
      <c r="D191" s="192"/>
      <c r="E191" s="192"/>
      <c r="F191" s="192"/>
      <c r="G191" s="192"/>
      <c r="H191" s="192"/>
      <c r="J191" s="192"/>
      <c r="K191" s="192"/>
      <c r="L191" s="192"/>
      <c r="M191" s="195" t="s">
        <v>1419</v>
      </c>
      <c r="N191" s="192"/>
      <c r="O191" s="192"/>
    </row>
    <row r="192" spans="2:15" x14ac:dyDescent="0.35">
      <c r="B192" s="194" t="s">
        <v>321</v>
      </c>
      <c r="C192" s="171">
        <v>4</v>
      </c>
      <c r="D192" s="192"/>
      <c r="E192" s="192"/>
      <c r="F192" s="192"/>
      <c r="G192" s="192"/>
      <c r="H192" s="192"/>
      <c r="J192" s="192"/>
      <c r="K192" s="192"/>
      <c r="L192" s="192"/>
      <c r="M192" s="195" t="s">
        <v>1419</v>
      </c>
      <c r="N192" s="192"/>
      <c r="O192" s="192"/>
    </row>
    <row r="193" spans="2:15" x14ac:dyDescent="0.35">
      <c r="B193" s="194" t="s">
        <v>239</v>
      </c>
      <c r="C193" s="169">
        <v>4</v>
      </c>
      <c r="D193" s="192"/>
      <c r="E193" s="192"/>
      <c r="F193" s="192"/>
      <c r="G193" s="192"/>
      <c r="H193" s="192"/>
      <c r="J193" s="195" t="s">
        <v>1419</v>
      </c>
      <c r="K193" s="192"/>
      <c r="L193" s="192"/>
      <c r="M193" s="192"/>
      <c r="N193" s="192"/>
      <c r="O193" s="192"/>
    </row>
    <row r="194" spans="2:15" x14ac:dyDescent="0.35">
      <c r="B194" s="194" t="s">
        <v>322</v>
      </c>
      <c r="C194" s="171">
        <v>4</v>
      </c>
      <c r="D194" s="192"/>
      <c r="E194" s="192"/>
      <c r="F194" s="192"/>
      <c r="G194" s="192"/>
      <c r="H194" s="195" t="s">
        <v>1419</v>
      </c>
      <c r="J194" s="192"/>
      <c r="K194" s="192"/>
      <c r="L194" s="192"/>
      <c r="M194" s="192"/>
      <c r="N194" s="192"/>
      <c r="O194" s="192"/>
    </row>
    <row r="195" spans="2:15" x14ac:dyDescent="0.35">
      <c r="B195" s="194" t="s">
        <v>323</v>
      </c>
      <c r="C195" s="171">
        <v>4</v>
      </c>
      <c r="D195" s="192"/>
      <c r="E195" s="192"/>
      <c r="F195" s="192"/>
      <c r="G195" s="192"/>
      <c r="H195" s="192"/>
      <c r="J195" s="192"/>
      <c r="K195" s="192"/>
      <c r="L195" s="192"/>
      <c r="M195" s="192"/>
      <c r="N195" s="195" t="s">
        <v>1419</v>
      </c>
      <c r="O195" s="192"/>
    </row>
    <row r="196" spans="2:15" x14ac:dyDescent="0.35">
      <c r="B196" s="194" t="s">
        <v>324</v>
      </c>
      <c r="C196" s="171">
        <v>4</v>
      </c>
      <c r="D196" s="192"/>
      <c r="E196" s="192"/>
      <c r="F196" s="192"/>
      <c r="G196" s="192"/>
      <c r="H196" s="192"/>
      <c r="J196" s="192"/>
      <c r="K196" s="192"/>
      <c r="L196" s="192"/>
      <c r="M196" s="192"/>
      <c r="N196" s="192"/>
      <c r="O196" s="195" t="s">
        <v>1419</v>
      </c>
    </row>
    <row r="197" spans="2:15" x14ac:dyDescent="0.35">
      <c r="B197" s="194" t="s">
        <v>328</v>
      </c>
      <c r="C197" s="171">
        <v>4</v>
      </c>
      <c r="D197" s="192"/>
      <c r="E197" s="192"/>
      <c r="F197" s="192"/>
      <c r="G197" s="192"/>
      <c r="H197" s="192"/>
      <c r="J197" s="192"/>
      <c r="K197" s="192"/>
      <c r="L197" s="192"/>
      <c r="M197" s="192"/>
      <c r="N197" s="195" t="s">
        <v>1419</v>
      </c>
      <c r="O197" s="192"/>
    </row>
    <row r="198" spans="2:15" x14ac:dyDescent="0.35">
      <c r="B198" s="194" t="s">
        <v>241</v>
      </c>
      <c r="C198" s="169">
        <v>4</v>
      </c>
      <c r="E198" s="195" t="s">
        <v>1419</v>
      </c>
      <c r="F198" s="192"/>
      <c r="G198" s="192"/>
      <c r="H198" s="192"/>
      <c r="J198" s="192"/>
      <c r="K198" s="192"/>
      <c r="L198" s="192"/>
      <c r="M198" s="192"/>
      <c r="N198" s="192"/>
      <c r="O198" s="192"/>
    </row>
    <row r="199" spans="2:15" x14ac:dyDescent="0.35">
      <c r="B199" s="194" t="s">
        <v>329</v>
      </c>
      <c r="C199" s="171">
        <v>4</v>
      </c>
      <c r="D199" s="192"/>
      <c r="E199" s="192"/>
      <c r="F199" s="192"/>
      <c r="G199" s="192"/>
      <c r="H199" s="192"/>
      <c r="J199" s="192"/>
      <c r="K199" s="192"/>
      <c r="L199" s="192"/>
      <c r="M199" s="192"/>
      <c r="N199" s="195" t="s">
        <v>1419</v>
      </c>
      <c r="O199" s="192"/>
    </row>
    <row r="200" spans="2:15" x14ac:dyDescent="0.35">
      <c r="B200" s="194" t="s">
        <v>242</v>
      </c>
      <c r="C200" s="169">
        <v>4</v>
      </c>
      <c r="D200" s="192"/>
      <c r="F200" s="195" t="s">
        <v>1419</v>
      </c>
      <c r="G200" s="192"/>
      <c r="H200" s="192"/>
      <c r="J200" s="192"/>
      <c r="K200" s="192"/>
      <c r="L200" s="192"/>
      <c r="M200" s="192"/>
      <c r="N200" s="192"/>
      <c r="O200" s="192"/>
    </row>
    <row r="201" spans="2:15" x14ac:dyDescent="0.35">
      <c r="B201" s="194" t="s">
        <v>330</v>
      </c>
      <c r="C201" s="171">
        <v>4</v>
      </c>
      <c r="D201" s="192"/>
      <c r="E201" s="192"/>
      <c r="F201" s="192"/>
      <c r="G201" s="192"/>
      <c r="H201" s="192"/>
      <c r="J201" s="192"/>
      <c r="K201" s="192"/>
      <c r="L201" s="192"/>
      <c r="M201" s="195" t="s">
        <v>1419</v>
      </c>
      <c r="N201" s="192"/>
      <c r="O201" s="192"/>
    </row>
    <row r="202" spans="2:15" x14ac:dyDescent="0.35">
      <c r="B202" s="194" t="s">
        <v>990</v>
      </c>
      <c r="C202" s="171">
        <v>4</v>
      </c>
      <c r="D202" s="192"/>
      <c r="E202" s="192"/>
      <c r="F202" s="192"/>
      <c r="H202" s="195" t="s">
        <v>1419</v>
      </c>
      <c r="J202" s="192"/>
      <c r="K202" s="192"/>
      <c r="L202" s="192"/>
      <c r="M202" s="192"/>
      <c r="N202" s="192"/>
      <c r="O202" s="192"/>
    </row>
    <row r="203" spans="2:15" x14ac:dyDescent="0.35">
      <c r="B203" s="194" t="s">
        <v>315</v>
      </c>
      <c r="C203" s="171">
        <v>4</v>
      </c>
      <c r="D203" s="192"/>
      <c r="E203" s="192"/>
      <c r="F203" s="192"/>
      <c r="G203" s="192"/>
      <c r="H203" s="192"/>
      <c r="J203" s="192"/>
      <c r="K203" s="192"/>
      <c r="L203" s="192"/>
      <c r="M203" s="195" t="s">
        <v>1419</v>
      </c>
      <c r="N203" s="192"/>
      <c r="O203" s="192"/>
    </row>
    <row r="204" spans="2:15" x14ac:dyDescent="0.35">
      <c r="B204" s="194" t="s">
        <v>237</v>
      </c>
      <c r="C204" s="169">
        <v>4</v>
      </c>
      <c r="D204" s="192"/>
      <c r="E204" s="192"/>
      <c r="F204" s="192"/>
      <c r="G204" s="192"/>
      <c r="H204" s="192"/>
      <c r="J204" s="192"/>
      <c r="K204" s="192"/>
      <c r="L204" s="192"/>
      <c r="M204" s="195" t="s">
        <v>1419</v>
      </c>
      <c r="N204" s="192"/>
      <c r="O204" s="192"/>
    </row>
    <row r="205" spans="2:15" x14ac:dyDescent="0.35">
      <c r="B205" s="194" t="s">
        <v>238</v>
      </c>
      <c r="C205" s="169">
        <v>4</v>
      </c>
      <c r="D205" s="192"/>
      <c r="E205" s="192"/>
      <c r="F205" s="192"/>
      <c r="G205" s="192"/>
      <c r="H205" s="192"/>
      <c r="J205" s="192"/>
      <c r="K205" s="192"/>
      <c r="L205" s="192"/>
      <c r="M205" s="195" t="s">
        <v>1419</v>
      </c>
      <c r="N205" s="192"/>
      <c r="O205" s="192"/>
    </row>
    <row r="206" spans="2:15" x14ac:dyDescent="0.35">
      <c r="B206" s="194" t="s">
        <v>244</v>
      </c>
      <c r="C206" s="169">
        <v>4</v>
      </c>
      <c r="D206" s="192"/>
      <c r="E206" s="192"/>
      <c r="F206" s="192"/>
      <c r="G206" s="192"/>
      <c r="H206" s="192"/>
      <c r="J206" s="192"/>
      <c r="K206" s="192"/>
      <c r="L206" s="192"/>
      <c r="M206" s="192"/>
      <c r="N206" s="192"/>
      <c r="O206" s="195" t="s">
        <v>1419</v>
      </c>
    </row>
    <row r="207" spans="2:15" x14ac:dyDescent="0.35">
      <c r="B207" s="194" t="s">
        <v>247</v>
      </c>
      <c r="C207" s="169">
        <v>4</v>
      </c>
      <c r="D207" s="192"/>
      <c r="E207" s="192"/>
      <c r="F207" s="192"/>
      <c r="G207" s="192"/>
      <c r="H207" s="192"/>
      <c r="J207" s="195" t="s">
        <v>1419</v>
      </c>
      <c r="K207" s="192"/>
      <c r="L207" s="192"/>
      <c r="M207" s="192"/>
      <c r="N207" s="192"/>
      <c r="O207" s="192"/>
    </row>
    <row r="208" spans="2:15" x14ac:dyDescent="0.35">
      <c r="B208" s="194" t="s">
        <v>258</v>
      </c>
      <c r="C208" s="169">
        <v>4</v>
      </c>
      <c r="D208" s="192"/>
      <c r="F208" s="195" t="s">
        <v>1419</v>
      </c>
      <c r="G208" s="192"/>
      <c r="H208" s="192"/>
      <c r="J208" s="192"/>
      <c r="K208" s="192"/>
      <c r="L208" s="192"/>
      <c r="M208" s="192"/>
      <c r="N208" s="192"/>
      <c r="O208" s="192"/>
    </row>
    <row r="209" spans="2:15" x14ac:dyDescent="0.35">
      <c r="B209" s="194" t="s">
        <v>260</v>
      </c>
      <c r="C209" s="169">
        <v>4</v>
      </c>
      <c r="D209" s="192"/>
      <c r="E209" s="192"/>
      <c r="F209" s="192"/>
      <c r="G209" s="192"/>
      <c r="H209" s="192"/>
      <c r="J209" s="192"/>
      <c r="K209" s="192"/>
      <c r="L209" s="192"/>
      <c r="M209" s="192"/>
      <c r="N209" s="195" t="s">
        <v>1419</v>
      </c>
      <c r="O209" s="192"/>
    </row>
    <row r="210" spans="2:15" x14ac:dyDescent="0.35">
      <c r="B210" s="194" t="s">
        <v>262</v>
      </c>
      <c r="C210" s="169">
        <v>4</v>
      </c>
      <c r="D210" s="192"/>
      <c r="E210" s="192"/>
      <c r="F210" s="192"/>
      <c r="H210" s="195" t="s">
        <v>1419</v>
      </c>
      <c r="J210" s="192"/>
      <c r="K210" s="192"/>
      <c r="L210" s="192"/>
      <c r="M210" s="192"/>
      <c r="N210" s="192"/>
      <c r="O210" s="192"/>
    </row>
    <row r="211" spans="2:15" x14ac:dyDescent="0.35">
      <c r="B211" s="194" t="s">
        <v>264</v>
      </c>
      <c r="C211" s="169">
        <v>4</v>
      </c>
      <c r="D211" s="192"/>
      <c r="E211" s="192"/>
      <c r="F211" s="192"/>
      <c r="H211" s="195" t="s">
        <v>1419</v>
      </c>
      <c r="J211" s="192"/>
      <c r="K211" s="192"/>
      <c r="L211" s="192"/>
      <c r="M211" s="192"/>
      <c r="N211" s="192"/>
      <c r="O211" s="192"/>
    </row>
    <row r="212" spans="2:15" x14ac:dyDescent="0.35">
      <c r="B212" s="194" t="s">
        <v>265</v>
      </c>
      <c r="C212" s="169">
        <v>4</v>
      </c>
      <c r="D212" s="192"/>
      <c r="F212" s="195" t="s">
        <v>1419</v>
      </c>
      <c r="G212" s="192"/>
      <c r="H212" s="192"/>
      <c r="J212" s="192"/>
      <c r="K212" s="192"/>
      <c r="L212" s="192"/>
      <c r="M212" s="192"/>
      <c r="N212" s="192"/>
      <c r="O212" s="192"/>
    </row>
    <row r="213" spans="2:15" x14ac:dyDescent="0.35">
      <c r="B213" s="194" t="s">
        <v>268</v>
      </c>
      <c r="C213" s="169">
        <v>4</v>
      </c>
      <c r="E213" s="195" t="s">
        <v>1419</v>
      </c>
      <c r="F213" s="192"/>
      <c r="G213" s="192"/>
      <c r="H213" s="192"/>
      <c r="J213" s="192"/>
      <c r="K213" s="192"/>
      <c r="L213" s="192"/>
      <c r="M213" s="192"/>
      <c r="N213" s="192"/>
      <c r="O213" s="192"/>
    </row>
    <row r="214" spans="2:15" x14ac:dyDescent="0.35">
      <c r="B214" s="194" t="s">
        <v>249</v>
      </c>
      <c r="C214" s="169">
        <v>4</v>
      </c>
      <c r="D214" s="192"/>
      <c r="F214" s="195" t="s">
        <v>1419</v>
      </c>
      <c r="G214" s="192"/>
      <c r="H214" s="192"/>
      <c r="J214" s="192"/>
      <c r="K214" s="192"/>
      <c r="L214" s="192"/>
      <c r="M214" s="192"/>
      <c r="N214" s="192"/>
      <c r="O214" s="192"/>
    </row>
    <row r="215" spans="2:15" x14ac:dyDescent="0.35">
      <c r="B215" s="194" t="s">
        <v>250</v>
      </c>
      <c r="C215" s="169">
        <v>4</v>
      </c>
      <c r="D215" s="192"/>
      <c r="F215" s="195" t="s">
        <v>1419</v>
      </c>
      <c r="G215" s="192"/>
      <c r="H215" s="192"/>
      <c r="J215" s="192"/>
      <c r="K215" s="192"/>
      <c r="L215" s="192"/>
      <c r="M215" s="192"/>
      <c r="N215" s="192"/>
      <c r="O215" s="192"/>
    </row>
    <row r="216" spans="2:15" x14ac:dyDescent="0.35">
      <c r="B216" s="194" t="s">
        <v>253</v>
      </c>
      <c r="C216" s="169">
        <v>4</v>
      </c>
      <c r="D216" s="192"/>
      <c r="F216" s="195" t="s">
        <v>1419</v>
      </c>
      <c r="G216" s="192"/>
      <c r="H216" s="192"/>
      <c r="J216" s="192"/>
      <c r="K216" s="192"/>
      <c r="L216" s="192"/>
      <c r="M216" s="192"/>
      <c r="N216" s="192"/>
      <c r="O216" s="192"/>
    </row>
    <row r="217" spans="2:15" x14ac:dyDescent="0.35">
      <c r="B217" s="194" t="s">
        <v>254</v>
      </c>
      <c r="C217" s="169">
        <v>4</v>
      </c>
      <c r="F217" s="195" t="s">
        <v>1419</v>
      </c>
      <c r="G217" s="192"/>
      <c r="H217" s="192"/>
      <c r="J217" s="192"/>
      <c r="K217" s="192"/>
      <c r="L217" s="192"/>
      <c r="M217" s="192"/>
      <c r="N217" s="192"/>
      <c r="O217" s="192"/>
    </row>
    <row r="218" spans="2:15" x14ac:dyDescent="0.35">
      <c r="B218" s="194" t="s">
        <v>255</v>
      </c>
      <c r="C218" s="169">
        <v>4</v>
      </c>
      <c r="D218" s="192"/>
      <c r="F218" s="195" t="s">
        <v>1419</v>
      </c>
      <c r="G218" s="192"/>
      <c r="H218" s="192"/>
      <c r="J218" s="192"/>
      <c r="K218" s="192"/>
      <c r="L218" s="192"/>
      <c r="M218" s="192"/>
      <c r="N218" s="192"/>
      <c r="O218" s="192"/>
    </row>
    <row r="219" spans="2:15" x14ac:dyDescent="0.35">
      <c r="B219" s="194" t="s">
        <v>256</v>
      </c>
      <c r="C219" s="169">
        <v>4</v>
      </c>
      <c r="D219" s="192"/>
      <c r="E219" s="192"/>
      <c r="F219" s="192"/>
      <c r="G219" s="192"/>
      <c r="H219" s="192"/>
      <c r="J219" s="192"/>
      <c r="K219" s="192"/>
      <c r="L219" s="192"/>
      <c r="M219" s="192"/>
      <c r="N219" s="195" t="s">
        <v>1419</v>
      </c>
      <c r="O219" s="192"/>
    </row>
    <row r="220" spans="2:15" x14ac:dyDescent="0.35">
      <c r="B220" s="194" t="s">
        <v>257</v>
      </c>
      <c r="C220" s="169">
        <v>4</v>
      </c>
      <c r="D220" s="192"/>
      <c r="E220" s="192"/>
      <c r="F220" s="192"/>
      <c r="G220" s="192"/>
      <c r="H220" s="192"/>
      <c r="J220" s="192"/>
      <c r="K220" s="192"/>
      <c r="L220" s="192"/>
      <c r="M220" s="192"/>
      <c r="N220" s="195" t="s">
        <v>1419</v>
      </c>
      <c r="O220" s="192"/>
    </row>
    <row r="221" spans="2:15" x14ac:dyDescent="0.35">
      <c r="B221" s="193" t="s">
        <v>162</v>
      </c>
      <c r="C221" s="169">
        <v>4</v>
      </c>
      <c r="D221" s="192"/>
      <c r="E221" s="192"/>
      <c r="F221" s="192"/>
      <c r="G221" s="192"/>
      <c r="H221" s="192"/>
      <c r="J221" s="192"/>
      <c r="K221" s="192"/>
      <c r="L221" s="195" t="s">
        <v>1419</v>
      </c>
      <c r="M221" s="192"/>
      <c r="N221" s="192"/>
      <c r="O221" s="192"/>
    </row>
    <row r="222" spans="2:15" x14ac:dyDescent="0.35">
      <c r="B222" s="193" t="s">
        <v>165</v>
      </c>
      <c r="C222" s="169">
        <v>4</v>
      </c>
      <c r="D222" s="192"/>
      <c r="E222" s="192"/>
      <c r="F222" s="192"/>
      <c r="G222" s="192"/>
      <c r="H222" s="192"/>
      <c r="J222" s="192"/>
      <c r="K222" s="192"/>
      <c r="L222" s="195" t="s">
        <v>1419</v>
      </c>
      <c r="M222" s="192"/>
      <c r="N222" s="192"/>
      <c r="O222" s="192"/>
    </row>
    <row r="223" spans="2:15" x14ac:dyDescent="0.35">
      <c r="B223" s="193" t="s">
        <v>167</v>
      </c>
      <c r="C223" s="169">
        <v>4</v>
      </c>
      <c r="D223" s="192"/>
      <c r="E223" s="192"/>
      <c r="F223" s="192"/>
      <c r="G223" s="192"/>
      <c r="H223" s="192"/>
      <c r="J223" s="192"/>
      <c r="K223" s="192"/>
      <c r="L223" s="195" t="s">
        <v>1419</v>
      </c>
      <c r="M223" s="192"/>
      <c r="N223" s="192"/>
      <c r="O223" s="192"/>
    </row>
    <row r="224" spans="2:15" x14ac:dyDescent="0.35">
      <c r="B224" s="193" t="s">
        <v>169</v>
      </c>
      <c r="C224" s="169">
        <v>4</v>
      </c>
      <c r="D224" s="192"/>
      <c r="E224" s="192"/>
      <c r="F224" s="192"/>
      <c r="G224" s="192"/>
      <c r="H224" s="192"/>
      <c r="J224" s="192"/>
      <c r="K224" s="192"/>
      <c r="L224" s="195" t="s">
        <v>1419</v>
      </c>
      <c r="M224" s="192"/>
      <c r="N224" s="192"/>
      <c r="O224" s="192"/>
    </row>
    <row r="225" spans="2:15" x14ac:dyDescent="0.35">
      <c r="B225" s="193" t="s">
        <v>171</v>
      </c>
      <c r="C225" s="169">
        <v>4</v>
      </c>
      <c r="D225" s="192"/>
      <c r="E225" s="192"/>
      <c r="F225" s="192"/>
      <c r="G225" s="192"/>
      <c r="H225" s="192"/>
      <c r="J225" s="192"/>
      <c r="K225" s="192"/>
      <c r="L225" s="195" t="s">
        <v>1419</v>
      </c>
      <c r="M225" s="192"/>
      <c r="N225" s="192"/>
      <c r="O225" s="192"/>
    </row>
    <row r="226" spans="2:15" x14ac:dyDescent="0.35">
      <c r="B226" s="193" t="s">
        <v>173</v>
      </c>
      <c r="C226" s="169">
        <v>4</v>
      </c>
      <c r="D226" s="192"/>
      <c r="E226" s="192"/>
      <c r="F226" s="192"/>
      <c r="G226" s="192"/>
      <c r="H226" s="192"/>
      <c r="J226" s="192"/>
      <c r="K226" s="192"/>
      <c r="L226" s="195" t="s">
        <v>1419</v>
      </c>
      <c r="M226" s="192"/>
      <c r="N226" s="192"/>
      <c r="O226" s="192"/>
    </row>
    <row r="227" spans="2:15" x14ac:dyDescent="0.35">
      <c r="B227" s="193" t="s">
        <v>110</v>
      </c>
      <c r="C227" s="169">
        <v>4</v>
      </c>
      <c r="D227" s="192"/>
      <c r="E227" s="192"/>
      <c r="G227" s="195" t="s">
        <v>1419</v>
      </c>
      <c r="H227" s="192"/>
      <c r="J227" s="192"/>
      <c r="K227" s="192"/>
      <c r="L227" s="192"/>
      <c r="M227" s="192"/>
      <c r="N227" s="192"/>
      <c r="O227" s="192"/>
    </row>
    <row r="228" spans="2:15" x14ac:dyDescent="0.35">
      <c r="B228" s="193" t="s">
        <v>111</v>
      </c>
      <c r="C228" s="169">
        <v>4</v>
      </c>
      <c r="D228" s="192"/>
      <c r="E228" s="192"/>
      <c r="F228" s="192"/>
      <c r="G228" s="192"/>
      <c r="H228" s="192"/>
      <c r="J228" s="195" t="s">
        <v>1419</v>
      </c>
      <c r="K228" s="192"/>
      <c r="L228" s="192"/>
      <c r="M228" s="192"/>
      <c r="N228" s="192"/>
      <c r="O228" s="192"/>
    </row>
    <row r="229" spans="2:15" x14ac:dyDescent="0.35">
      <c r="B229" s="193" t="s">
        <v>112</v>
      </c>
      <c r="C229" s="169">
        <v>4</v>
      </c>
      <c r="D229" s="192"/>
      <c r="E229" s="192"/>
      <c r="G229" s="195" t="s">
        <v>1419</v>
      </c>
      <c r="H229" s="192"/>
      <c r="J229" s="192"/>
      <c r="K229" s="192"/>
      <c r="L229" s="192"/>
      <c r="M229" s="192"/>
      <c r="N229" s="192"/>
      <c r="O229" s="192"/>
    </row>
    <row r="230" spans="2:15" x14ac:dyDescent="0.35">
      <c r="B230" s="193" t="s">
        <v>113</v>
      </c>
      <c r="C230" s="169">
        <v>4</v>
      </c>
      <c r="D230" s="192"/>
      <c r="E230" s="192"/>
      <c r="F230" s="192"/>
      <c r="G230" s="192"/>
      <c r="H230" s="192"/>
      <c r="J230" s="195" t="s">
        <v>1419</v>
      </c>
      <c r="K230" s="192"/>
      <c r="L230" s="192"/>
      <c r="M230" s="192"/>
      <c r="N230" s="192"/>
      <c r="O230" s="192"/>
    </row>
    <row r="231" spans="2:15" x14ac:dyDescent="0.35">
      <c r="B231" s="193" t="s">
        <v>114</v>
      </c>
      <c r="C231" s="169">
        <v>4</v>
      </c>
      <c r="D231" s="192"/>
      <c r="E231" s="192"/>
      <c r="F231" s="192"/>
      <c r="G231" s="192"/>
      <c r="H231" s="192"/>
      <c r="J231" s="195" t="s">
        <v>1419</v>
      </c>
      <c r="K231" s="192"/>
      <c r="L231" s="192"/>
      <c r="M231" s="192"/>
      <c r="N231" s="192"/>
      <c r="O231" s="192"/>
    </row>
    <row r="232" spans="2:15" x14ac:dyDescent="0.35">
      <c r="B232" s="193" t="s">
        <v>115</v>
      </c>
      <c r="C232" s="169">
        <v>4</v>
      </c>
      <c r="D232" s="192"/>
      <c r="E232" s="192"/>
      <c r="G232" s="195" t="s">
        <v>1419</v>
      </c>
      <c r="H232" s="192"/>
      <c r="J232" s="192"/>
      <c r="K232" s="192"/>
      <c r="L232" s="192"/>
      <c r="M232" s="192"/>
      <c r="N232" s="192"/>
      <c r="O232" s="192"/>
    </row>
    <row r="233" spans="2:15" x14ac:dyDescent="0.35">
      <c r="B233" s="193" t="s">
        <v>116</v>
      </c>
      <c r="C233" s="169">
        <v>4</v>
      </c>
      <c r="D233" s="192"/>
      <c r="E233" s="192"/>
      <c r="F233" s="192"/>
      <c r="G233" s="192"/>
      <c r="H233" s="192"/>
      <c r="J233" s="195" t="s">
        <v>1419</v>
      </c>
      <c r="K233" s="192"/>
      <c r="L233" s="192"/>
      <c r="M233" s="192"/>
      <c r="N233" s="192"/>
      <c r="O233" s="192"/>
    </row>
    <row r="234" spans="2:15" x14ac:dyDescent="0.35">
      <c r="B234" s="193" t="s">
        <v>117</v>
      </c>
      <c r="C234" s="169">
        <v>4</v>
      </c>
      <c r="D234" s="192"/>
      <c r="E234" s="192"/>
      <c r="F234" s="192"/>
      <c r="G234" s="192"/>
      <c r="H234" s="192"/>
      <c r="J234" s="195" t="s">
        <v>1419</v>
      </c>
      <c r="K234" s="192"/>
      <c r="L234" s="192"/>
      <c r="M234" s="192"/>
      <c r="N234" s="192"/>
      <c r="O234" s="192"/>
    </row>
    <row r="235" spans="2:15" x14ac:dyDescent="0.35">
      <c r="B235" s="193" t="s">
        <v>118</v>
      </c>
      <c r="C235" s="169">
        <v>4</v>
      </c>
      <c r="D235" s="192"/>
      <c r="E235" s="192"/>
      <c r="G235" s="195" t="s">
        <v>1419</v>
      </c>
      <c r="H235" s="192"/>
      <c r="J235" s="192"/>
      <c r="K235" s="192"/>
      <c r="L235" s="192"/>
      <c r="M235" s="192"/>
      <c r="N235" s="192"/>
      <c r="O235" s="192"/>
    </row>
    <row r="236" spans="2:15" x14ac:dyDescent="0.35">
      <c r="B236" s="193" t="s">
        <v>119</v>
      </c>
      <c r="C236" s="169">
        <v>4</v>
      </c>
      <c r="D236" s="195" t="s">
        <v>1419</v>
      </c>
      <c r="E236" s="192"/>
      <c r="F236" s="192"/>
      <c r="G236" s="192"/>
      <c r="H236" s="192"/>
      <c r="J236" s="192"/>
      <c r="K236" s="192"/>
      <c r="L236" s="192"/>
      <c r="M236" s="192"/>
      <c r="N236" s="192"/>
      <c r="O236" s="192"/>
    </row>
    <row r="237" spans="2:15" x14ac:dyDescent="0.35">
      <c r="B237" s="193" t="s">
        <v>120</v>
      </c>
      <c r="C237" s="169">
        <v>4</v>
      </c>
      <c r="D237" s="195" t="s">
        <v>1419</v>
      </c>
      <c r="E237" s="192"/>
      <c r="F237" s="192"/>
      <c r="G237" s="192"/>
      <c r="H237" s="192"/>
      <c r="J237" s="192"/>
      <c r="K237" s="192"/>
      <c r="L237" s="192"/>
      <c r="M237" s="192"/>
      <c r="N237" s="192"/>
      <c r="O237" s="192"/>
    </row>
    <row r="238" spans="2:15" x14ac:dyDescent="0.35">
      <c r="B238" s="193" t="s">
        <v>121</v>
      </c>
      <c r="C238" s="169">
        <v>4</v>
      </c>
      <c r="D238" s="195" t="s">
        <v>1419</v>
      </c>
      <c r="E238" s="192"/>
      <c r="F238" s="192"/>
      <c r="G238" s="192"/>
      <c r="H238" s="192"/>
      <c r="J238" s="192"/>
      <c r="K238" s="192"/>
      <c r="L238" s="192"/>
      <c r="M238" s="192"/>
      <c r="N238" s="192"/>
      <c r="O238" s="192"/>
    </row>
    <row r="239" spans="2:15" x14ac:dyDescent="0.35">
      <c r="B239" s="193" t="s">
        <v>127</v>
      </c>
      <c r="C239" s="169">
        <v>4</v>
      </c>
      <c r="D239" s="195" t="s">
        <v>1419</v>
      </c>
      <c r="E239" s="192"/>
      <c r="F239" s="192"/>
      <c r="G239" s="192"/>
      <c r="H239" s="192"/>
      <c r="J239" s="192"/>
      <c r="K239" s="192"/>
      <c r="L239" s="192"/>
      <c r="M239" s="192"/>
      <c r="N239" s="192"/>
      <c r="O239" s="192"/>
    </row>
    <row r="240" spans="2:15" x14ac:dyDescent="0.35">
      <c r="B240" s="193" t="s">
        <v>126</v>
      </c>
      <c r="C240" s="169">
        <v>4</v>
      </c>
      <c r="D240" s="192"/>
      <c r="E240" s="192"/>
      <c r="F240" s="192"/>
      <c r="G240" s="192"/>
      <c r="H240" s="192"/>
      <c r="J240" s="195" t="s">
        <v>1419</v>
      </c>
      <c r="K240" s="192"/>
      <c r="L240" s="192"/>
      <c r="M240" s="192"/>
      <c r="N240" s="192"/>
      <c r="O240" s="192"/>
    </row>
    <row r="241" spans="2:15" x14ac:dyDescent="0.35">
      <c r="B241" s="193" t="s">
        <v>122</v>
      </c>
      <c r="C241" s="169">
        <v>4</v>
      </c>
      <c r="D241" s="195" t="s">
        <v>1419</v>
      </c>
      <c r="E241" s="192"/>
      <c r="F241" s="192"/>
      <c r="G241" s="192"/>
      <c r="H241" s="192"/>
      <c r="J241" s="192"/>
      <c r="K241" s="192"/>
      <c r="L241" s="192"/>
      <c r="M241" s="192"/>
      <c r="N241" s="192"/>
      <c r="O241" s="192"/>
    </row>
    <row r="242" spans="2:15" x14ac:dyDescent="0.35">
      <c r="B242" s="193" t="s">
        <v>946</v>
      </c>
      <c r="C242" s="169">
        <v>4</v>
      </c>
      <c r="D242" s="192"/>
      <c r="E242" s="192"/>
      <c r="F242" s="192"/>
      <c r="G242" s="192"/>
      <c r="H242" s="192"/>
      <c r="J242" s="192"/>
      <c r="K242" s="192"/>
      <c r="L242" s="192"/>
      <c r="M242" s="192"/>
      <c r="N242" s="192"/>
      <c r="O242" s="195" t="s">
        <v>1419</v>
      </c>
    </row>
    <row r="243" spans="2:15" x14ac:dyDescent="0.35">
      <c r="B243" s="193" t="s">
        <v>123</v>
      </c>
      <c r="C243" s="169">
        <v>4</v>
      </c>
      <c r="D243" s="192"/>
      <c r="E243" s="192"/>
      <c r="F243" s="192"/>
      <c r="G243" s="192"/>
      <c r="H243" s="192"/>
      <c r="J243" s="195" t="s">
        <v>1419</v>
      </c>
      <c r="K243" s="192"/>
      <c r="L243" s="192"/>
      <c r="M243" s="192"/>
      <c r="N243" s="192"/>
      <c r="O243" s="192"/>
    </row>
    <row r="244" spans="2:15" x14ac:dyDescent="0.35">
      <c r="B244" s="193" t="s">
        <v>124</v>
      </c>
      <c r="C244" s="169">
        <v>4</v>
      </c>
      <c r="D244" s="195" t="s">
        <v>1419</v>
      </c>
      <c r="E244" s="192"/>
      <c r="F244" s="192"/>
      <c r="G244" s="192"/>
      <c r="H244" s="192"/>
      <c r="J244" s="192"/>
      <c r="K244" s="192"/>
      <c r="L244" s="192"/>
      <c r="M244" s="192"/>
      <c r="N244" s="192"/>
      <c r="O244" s="192"/>
    </row>
    <row r="245" spans="2:15" x14ac:dyDescent="0.35">
      <c r="B245" s="193" t="s">
        <v>125</v>
      </c>
      <c r="C245" s="169">
        <v>4</v>
      </c>
      <c r="D245" s="195" t="s">
        <v>1419</v>
      </c>
      <c r="E245" s="192"/>
      <c r="F245" s="192"/>
      <c r="G245" s="192"/>
      <c r="H245" s="192"/>
      <c r="J245" s="192"/>
      <c r="K245" s="192"/>
      <c r="L245" s="192"/>
      <c r="M245" s="192"/>
      <c r="N245" s="192"/>
      <c r="O245" s="192"/>
    </row>
    <row r="246" spans="2:15" x14ac:dyDescent="0.35">
      <c r="B246" s="193" t="s">
        <v>109</v>
      </c>
      <c r="C246" s="169">
        <v>4</v>
      </c>
      <c r="D246" s="195" t="s">
        <v>1419</v>
      </c>
      <c r="E246" s="192"/>
      <c r="F246" s="192"/>
      <c r="G246" s="192"/>
      <c r="H246" s="192"/>
      <c r="J246" s="192"/>
      <c r="K246" s="192"/>
      <c r="L246" s="192"/>
      <c r="M246" s="192"/>
      <c r="N246" s="192"/>
      <c r="O246" s="192"/>
    </row>
    <row r="247" spans="2:15" x14ac:dyDescent="0.35">
      <c r="B247" s="193" t="s">
        <v>947</v>
      </c>
      <c r="C247" s="169">
        <v>4</v>
      </c>
      <c r="D247" s="192"/>
      <c r="E247" s="192"/>
      <c r="F247" s="192"/>
      <c r="G247" s="192"/>
      <c r="H247" s="192"/>
      <c r="J247" s="195" t="s">
        <v>1417</v>
      </c>
      <c r="K247" s="192"/>
      <c r="L247" s="192"/>
      <c r="M247" s="192"/>
      <c r="N247" s="192"/>
      <c r="O247" s="192"/>
    </row>
    <row r="248" spans="2:15" x14ac:dyDescent="0.35">
      <c r="B248" s="193" t="s">
        <v>107</v>
      </c>
      <c r="C248" s="169">
        <v>4</v>
      </c>
      <c r="D248" s="192"/>
      <c r="E248" s="192"/>
      <c r="F248" s="192"/>
      <c r="G248" s="192"/>
      <c r="H248" s="192"/>
      <c r="J248" s="195" t="s">
        <v>1419</v>
      </c>
      <c r="K248" s="192"/>
      <c r="L248" s="192"/>
      <c r="M248" s="192"/>
      <c r="N248" s="192"/>
      <c r="O248" s="192"/>
    </row>
    <row r="249" spans="2:15" x14ac:dyDescent="0.35">
      <c r="B249" s="193" t="s">
        <v>106</v>
      </c>
      <c r="C249" s="169">
        <v>4</v>
      </c>
      <c r="D249" s="195" t="s">
        <v>1419</v>
      </c>
      <c r="E249" s="192"/>
      <c r="F249" s="192"/>
      <c r="G249" s="192"/>
      <c r="H249" s="192"/>
      <c r="J249" s="192"/>
      <c r="K249" s="192"/>
      <c r="L249" s="192"/>
      <c r="M249" s="192"/>
      <c r="N249" s="192"/>
      <c r="O249" s="192"/>
    </row>
    <row r="250" spans="2:15" x14ac:dyDescent="0.35">
      <c r="B250" s="193" t="s">
        <v>108</v>
      </c>
      <c r="C250" s="169">
        <v>4</v>
      </c>
      <c r="D250" s="195" t="s">
        <v>1419</v>
      </c>
      <c r="E250" s="192"/>
      <c r="F250" s="192"/>
      <c r="G250" s="192"/>
      <c r="H250" s="192"/>
      <c r="J250" s="192"/>
      <c r="K250" s="192"/>
      <c r="L250" s="192"/>
      <c r="M250" s="192"/>
      <c r="N250" s="192"/>
      <c r="O250" s="192"/>
    </row>
    <row r="251" spans="2:15" x14ac:dyDescent="0.35">
      <c r="B251" s="193" t="s">
        <v>423</v>
      </c>
      <c r="C251" s="169">
        <v>4</v>
      </c>
      <c r="D251" s="195" t="s">
        <v>1419</v>
      </c>
      <c r="E251" s="192"/>
      <c r="F251" s="192"/>
      <c r="G251" s="192"/>
      <c r="H251" s="192"/>
      <c r="J251" s="192"/>
      <c r="K251" s="192"/>
      <c r="L251" s="192"/>
      <c r="M251" s="192"/>
      <c r="N251" s="192"/>
      <c r="O251" s="192"/>
    </row>
    <row r="252" spans="2:15" x14ac:dyDescent="0.35">
      <c r="B252" s="193" t="s">
        <v>561</v>
      </c>
      <c r="C252" s="169">
        <v>4</v>
      </c>
      <c r="D252" s="195" t="s">
        <v>1419</v>
      </c>
      <c r="E252" s="192"/>
      <c r="F252" s="192"/>
      <c r="G252" s="192"/>
      <c r="H252" s="192"/>
      <c r="J252" s="192"/>
      <c r="K252" s="192"/>
      <c r="L252" s="192"/>
      <c r="M252" s="192"/>
      <c r="N252" s="192"/>
      <c r="O252" s="192"/>
    </row>
    <row r="253" spans="2:15" x14ac:dyDescent="0.35">
      <c r="B253" s="193" t="s">
        <v>134</v>
      </c>
      <c r="C253" s="169">
        <v>4</v>
      </c>
      <c r="D253" s="192"/>
      <c r="E253" s="192"/>
      <c r="F253" s="192"/>
      <c r="H253" s="195" t="s">
        <v>1419</v>
      </c>
      <c r="J253" s="192"/>
      <c r="K253" s="192"/>
      <c r="L253" s="192"/>
      <c r="M253" s="192"/>
      <c r="N253" s="192"/>
      <c r="O253" s="192"/>
    </row>
    <row r="254" spans="2:15" x14ac:dyDescent="0.35">
      <c r="B254" s="193" t="s">
        <v>135</v>
      </c>
      <c r="C254" s="169">
        <v>4</v>
      </c>
      <c r="D254" s="192"/>
      <c r="E254" s="192"/>
      <c r="F254" s="192"/>
      <c r="H254" s="192"/>
      <c r="J254" s="195" t="s">
        <v>1419</v>
      </c>
      <c r="K254" s="192"/>
      <c r="L254" s="192"/>
      <c r="M254" s="192"/>
      <c r="N254" s="192"/>
      <c r="O254" s="192"/>
    </row>
    <row r="255" spans="2:15" x14ac:dyDescent="0.35">
      <c r="B255" s="193" t="s">
        <v>136</v>
      </c>
      <c r="C255" s="169">
        <v>4</v>
      </c>
      <c r="D255" s="192"/>
      <c r="E255" s="192"/>
      <c r="F255" s="192"/>
      <c r="H255" s="195" t="s">
        <v>1419</v>
      </c>
      <c r="I255" s="192"/>
      <c r="J255" s="192"/>
      <c r="K255" s="192"/>
      <c r="L255" s="192"/>
      <c r="M255" s="192"/>
      <c r="N255" s="192"/>
      <c r="O255" s="192"/>
    </row>
    <row r="256" spans="2:15" x14ac:dyDescent="0.35">
      <c r="B256" s="193" t="s">
        <v>137</v>
      </c>
      <c r="C256" s="169">
        <v>4</v>
      </c>
      <c r="D256" s="192"/>
      <c r="E256" s="192"/>
      <c r="F256" s="192"/>
      <c r="H256" s="195" t="s">
        <v>1419</v>
      </c>
      <c r="I256" s="192"/>
      <c r="J256" s="192"/>
      <c r="K256" s="192"/>
      <c r="L256" s="192"/>
      <c r="M256" s="192"/>
      <c r="N256" s="192"/>
      <c r="O256" s="192"/>
    </row>
    <row r="257" spans="2:16" x14ac:dyDescent="0.35">
      <c r="B257" s="193" t="s">
        <v>138</v>
      </c>
      <c r="C257" s="169">
        <v>4</v>
      </c>
      <c r="D257" s="192"/>
      <c r="E257" s="192"/>
      <c r="F257" s="192"/>
      <c r="H257" s="195" t="s">
        <v>1419</v>
      </c>
      <c r="I257" s="192"/>
      <c r="J257" s="192"/>
      <c r="K257" s="192"/>
      <c r="L257" s="192"/>
      <c r="M257" s="192"/>
      <c r="N257" s="192"/>
      <c r="O257" s="192"/>
    </row>
    <row r="258" spans="2:16" x14ac:dyDescent="0.35">
      <c r="B258" s="193" t="s">
        <v>139</v>
      </c>
      <c r="C258" s="169">
        <v>4</v>
      </c>
      <c r="E258" s="195" t="s">
        <v>1419</v>
      </c>
      <c r="F258" s="192"/>
      <c r="G258" s="192"/>
      <c r="H258" s="192"/>
      <c r="I258" s="192"/>
      <c r="J258" s="192"/>
      <c r="K258" s="192"/>
      <c r="L258" s="192"/>
      <c r="M258" s="192"/>
      <c r="N258" s="192"/>
      <c r="O258" s="192"/>
    </row>
    <row r="259" spans="2:16" x14ac:dyDescent="0.35">
      <c r="B259" s="193" t="s">
        <v>142</v>
      </c>
      <c r="C259" s="169">
        <v>4</v>
      </c>
      <c r="E259" s="195" t="s">
        <v>1419</v>
      </c>
      <c r="F259" s="192"/>
      <c r="G259" s="192"/>
      <c r="H259" s="192"/>
      <c r="I259" s="192"/>
      <c r="J259" s="192"/>
      <c r="K259" s="192"/>
      <c r="L259" s="192"/>
      <c r="M259" s="192"/>
      <c r="N259" s="192"/>
      <c r="O259" s="192"/>
    </row>
    <row r="260" spans="2:16" x14ac:dyDescent="0.35">
      <c r="B260" s="193" t="s">
        <v>143</v>
      </c>
      <c r="C260" s="169">
        <v>4</v>
      </c>
      <c r="E260" s="195" t="s">
        <v>1419</v>
      </c>
      <c r="F260" s="192"/>
      <c r="G260" s="192"/>
      <c r="H260" s="192"/>
      <c r="I260" s="192"/>
      <c r="J260" s="192"/>
      <c r="K260" s="192"/>
      <c r="L260" s="192"/>
      <c r="M260" s="192"/>
      <c r="N260" s="192"/>
      <c r="O260" s="192"/>
    </row>
    <row r="261" spans="2:16" x14ac:dyDescent="0.35">
      <c r="B261" s="193" t="s">
        <v>144</v>
      </c>
      <c r="C261" s="169">
        <v>4</v>
      </c>
      <c r="D261" s="192"/>
      <c r="E261" s="192"/>
      <c r="F261" s="192"/>
      <c r="G261" s="192"/>
      <c r="H261" s="192"/>
      <c r="I261" s="192"/>
      <c r="J261" s="192"/>
      <c r="K261" s="192"/>
      <c r="L261" s="192"/>
      <c r="M261" s="192"/>
      <c r="N261" s="192"/>
      <c r="O261" s="195" t="s">
        <v>1419</v>
      </c>
    </row>
    <row r="262" spans="2:16" x14ac:dyDescent="0.35">
      <c r="B262" s="193" t="s">
        <v>146</v>
      </c>
      <c r="C262" s="169">
        <v>4</v>
      </c>
      <c r="D262" s="192"/>
      <c r="E262" s="192"/>
      <c r="F262" s="192"/>
      <c r="G262" s="192"/>
      <c r="H262" s="192"/>
      <c r="I262" s="192"/>
      <c r="J262" s="192"/>
      <c r="K262" s="192"/>
      <c r="L262" s="192"/>
      <c r="M262" s="192"/>
      <c r="N262" s="192"/>
      <c r="O262" s="195" t="s">
        <v>1419</v>
      </c>
    </row>
    <row r="263" spans="2:16" x14ac:dyDescent="0.35">
      <c r="B263" s="193" t="s">
        <v>148</v>
      </c>
      <c r="C263" s="169">
        <v>4</v>
      </c>
      <c r="D263" s="192"/>
      <c r="E263" s="192"/>
      <c r="F263" s="192"/>
      <c r="G263" s="192"/>
      <c r="H263" s="192"/>
      <c r="I263" s="192"/>
      <c r="J263" s="192"/>
      <c r="K263" s="192"/>
      <c r="L263" s="192"/>
      <c r="M263" s="192"/>
      <c r="N263" s="192"/>
      <c r="O263" s="195" t="s">
        <v>1419</v>
      </c>
    </row>
    <row r="264" spans="2:16" x14ac:dyDescent="0.35">
      <c r="B264" s="193" t="s">
        <v>150</v>
      </c>
      <c r="C264" s="169">
        <v>4</v>
      </c>
      <c r="D264" s="192"/>
      <c r="E264" s="192"/>
      <c r="F264" s="192"/>
      <c r="G264" s="192"/>
      <c r="H264" s="192"/>
      <c r="I264" s="192"/>
      <c r="J264" s="192"/>
      <c r="K264" s="192"/>
      <c r="L264" s="192"/>
      <c r="M264" s="192"/>
      <c r="N264" s="192"/>
      <c r="O264" s="195" t="s">
        <v>1419</v>
      </c>
    </row>
    <row r="265" spans="2:16" x14ac:dyDescent="0.35">
      <c r="B265" s="193" t="s">
        <v>152</v>
      </c>
      <c r="C265" s="169">
        <v>4</v>
      </c>
      <c r="D265" s="192"/>
      <c r="E265" s="192"/>
      <c r="F265" s="192"/>
      <c r="G265" s="192"/>
      <c r="H265" s="192"/>
      <c r="I265" s="192"/>
      <c r="J265" s="192"/>
      <c r="K265" s="192"/>
      <c r="L265" s="192"/>
      <c r="M265" s="192"/>
      <c r="N265" s="192"/>
      <c r="O265" s="195" t="s">
        <v>1419</v>
      </c>
    </row>
    <row r="266" spans="2:16" x14ac:dyDescent="0.35">
      <c r="B266" s="193" t="s">
        <v>154</v>
      </c>
      <c r="C266" s="169">
        <v>4</v>
      </c>
      <c r="D266" s="192"/>
      <c r="E266" s="192"/>
      <c r="F266" s="192"/>
      <c r="G266" s="192"/>
      <c r="H266" s="192"/>
      <c r="I266" s="192"/>
      <c r="J266" s="192"/>
      <c r="K266" s="192"/>
      <c r="L266" s="192"/>
      <c r="M266" s="192"/>
      <c r="N266" s="192"/>
      <c r="O266" s="195" t="s">
        <v>1419</v>
      </c>
    </row>
    <row r="267" spans="2:16" x14ac:dyDescent="0.35">
      <c r="B267">
        <f>+COUNTA(B119:B266)</f>
        <v>148</v>
      </c>
      <c r="D267" s="197">
        <f t="shared" ref="D267:O267" si="0">+COUNTA(D119:D266)</f>
        <v>15</v>
      </c>
      <c r="E267" s="197">
        <f t="shared" si="0"/>
        <v>14</v>
      </c>
      <c r="F267" s="197">
        <f t="shared" si="0"/>
        <v>12</v>
      </c>
      <c r="G267" s="197">
        <f t="shared" si="0"/>
        <v>12</v>
      </c>
      <c r="H267" s="197">
        <f t="shared" si="0"/>
        <v>12</v>
      </c>
      <c r="I267" s="197">
        <f t="shared" si="0"/>
        <v>12</v>
      </c>
      <c r="J267" s="197">
        <f t="shared" si="0"/>
        <v>12</v>
      </c>
      <c r="K267" s="197">
        <f t="shared" si="0"/>
        <v>12</v>
      </c>
      <c r="L267" s="197">
        <f t="shared" si="0"/>
        <v>12</v>
      </c>
      <c r="M267" s="197">
        <f t="shared" si="0"/>
        <v>11</v>
      </c>
      <c r="N267" s="197">
        <f t="shared" si="0"/>
        <v>12</v>
      </c>
      <c r="O267" s="197">
        <f t="shared" si="0"/>
        <v>12</v>
      </c>
      <c r="P267">
        <f>+SUM(D267:O267)</f>
        <v>148</v>
      </c>
    </row>
    <row r="270" spans="2:16" x14ac:dyDescent="0.35">
      <c r="B270">
        <v>12</v>
      </c>
      <c r="D270" s="196">
        <f>+$B$270-D267</f>
        <v>-3</v>
      </c>
      <c r="E270" s="196">
        <f t="shared" ref="E270:O270" si="1">+$B$270-E267</f>
        <v>-2</v>
      </c>
      <c r="F270" s="196">
        <f t="shared" si="1"/>
        <v>0</v>
      </c>
      <c r="G270" s="196">
        <f t="shared" si="1"/>
        <v>0</v>
      </c>
      <c r="H270" s="196">
        <f t="shared" si="1"/>
        <v>0</v>
      </c>
      <c r="I270" s="196">
        <f t="shared" si="1"/>
        <v>0</v>
      </c>
      <c r="J270" s="196">
        <f t="shared" si="1"/>
        <v>0</v>
      </c>
      <c r="K270" s="196">
        <f t="shared" si="1"/>
        <v>0</v>
      </c>
      <c r="L270" s="196">
        <f t="shared" si="1"/>
        <v>0</v>
      </c>
      <c r="M270" s="196">
        <f t="shared" si="1"/>
        <v>1</v>
      </c>
      <c r="N270" s="196">
        <f t="shared" si="1"/>
        <v>0</v>
      </c>
      <c r="O270" s="196">
        <f t="shared" si="1"/>
        <v>0</v>
      </c>
    </row>
  </sheetData>
  <autoFilter ref="A118:P267" xr:uid="{00000000-0009-0000-0000-000003000000}">
    <filterColumn colId="1" showButton="0"/>
  </autoFilter>
  <mergeCells count="5">
    <mergeCell ref="A2:A27"/>
    <mergeCell ref="B1:C1"/>
    <mergeCell ref="B30:C30"/>
    <mergeCell ref="A30:A115"/>
    <mergeCell ref="B118:C11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K55"/>
  <sheetViews>
    <sheetView workbookViewId="0">
      <selection activeCell="D2" sqref="D2:E17"/>
    </sheetView>
  </sheetViews>
  <sheetFormatPr baseColWidth="10" defaultRowHeight="14.5" x14ac:dyDescent="0.35"/>
  <cols>
    <col min="1" max="1" width="20.7265625" customWidth="1"/>
    <col min="2" max="2" width="16" customWidth="1"/>
    <col min="3" max="3" width="14" bestFit="1" customWidth="1"/>
    <col min="4" max="4" width="13.1796875" style="107" bestFit="1" customWidth="1"/>
    <col min="5" max="5" width="8" customWidth="1"/>
    <col min="6" max="6" width="14.1796875" bestFit="1" customWidth="1"/>
    <col min="7" max="7" width="42.26953125" bestFit="1" customWidth="1"/>
    <col min="8" max="8" width="40.7265625" bestFit="1" customWidth="1"/>
    <col min="9" max="9" width="12.1796875" bestFit="1" customWidth="1"/>
    <col min="10" max="10" width="33.81640625" bestFit="1" customWidth="1"/>
    <col min="11" max="11" width="14.7265625" bestFit="1" customWidth="1"/>
  </cols>
  <sheetData>
    <row r="1" spans="1:11" x14ac:dyDescent="0.35">
      <c r="A1" s="78" t="s">
        <v>907</v>
      </c>
      <c r="B1" s="76" t="s">
        <v>908</v>
      </c>
      <c r="C1" s="76" t="s">
        <v>898</v>
      </c>
      <c r="D1" s="328" t="s">
        <v>899</v>
      </c>
      <c r="E1" s="76" t="s">
        <v>900</v>
      </c>
      <c r="F1" s="76" t="s">
        <v>901</v>
      </c>
      <c r="G1" s="76" t="s">
        <v>902</v>
      </c>
      <c r="H1" s="78" t="s">
        <v>903</v>
      </c>
      <c r="I1" s="78" t="s">
        <v>904</v>
      </c>
      <c r="J1" s="78" t="s">
        <v>905</v>
      </c>
      <c r="K1" s="78" t="s">
        <v>906</v>
      </c>
    </row>
    <row r="2" spans="1:11" ht="15" customHeight="1" x14ac:dyDescent="0.35">
      <c r="A2" s="642" t="s">
        <v>909</v>
      </c>
      <c r="B2" s="365"/>
      <c r="C2" s="365"/>
      <c r="D2" s="526"/>
      <c r="E2" s="494"/>
      <c r="F2" s="494"/>
      <c r="G2" s="494"/>
      <c r="H2" s="494"/>
      <c r="I2" s="494"/>
      <c r="J2" s="494"/>
      <c r="K2" s="494"/>
    </row>
    <row r="3" spans="1:11" x14ac:dyDescent="0.35">
      <c r="A3" s="643"/>
      <c r="B3" s="365"/>
      <c r="C3" s="365"/>
      <c r="D3" s="526"/>
      <c r="E3" s="494"/>
      <c r="F3" s="494"/>
      <c r="G3" s="494"/>
      <c r="H3" s="494"/>
      <c r="I3" s="494"/>
      <c r="J3" s="494"/>
      <c r="K3" s="494"/>
    </row>
    <row r="4" spans="1:11" x14ac:dyDescent="0.35">
      <c r="A4" s="643"/>
      <c r="B4" s="365"/>
      <c r="C4" s="365"/>
      <c r="D4" s="526"/>
      <c r="E4" s="494"/>
      <c r="F4" s="494"/>
      <c r="G4" s="494"/>
      <c r="H4" s="494"/>
      <c r="I4" s="494"/>
      <c r="J4" s="494"/>
      <c r="K4" s="494"/>
    </row>
    <row r="5" spans="1:11" x14ac:dyDescent="0.35">
      <c r="A5" s="643"/>
      <c r="B5" s="365"/>
      <c r="C5" s="365"/>
      <c r="D5" s="526"/>
      <c r="E5" s="494"/>
      <c r="F5" s="494"/>
      <c r="G5" s="494"/>
      <c r="H5" s="494"/>
      <c r="I5" s="494"/>
      <c r="J5" s="494"/>
      <c r="K5" s="494"/>
    </row>
    <row r="6" spans="1:11" x14ac:dyDescent="0.35">
      <c r="A6" s="643"/>
      <c r="B6" s="365"/>
      <c r="C6" s="365"/>
      <c r="D6" s="526"/>
      <c r="E6" s="494"/>
      <c r="F6" s="494"/>
      <c r="G6" s="494"/>
      <c r="H6" s="494"/>
      <c r="I6" s="494"/>
      <c r="J6" s="494"/>
      <c r="K6" s="494"/>
    </row>
    <row r="7" spans="1:11" x14ac:dyDescent="0.35">
      <c r="A7" s="643"/>
      <c r="B7" s="365"/>
      <c r="C7" s="365"/>
      <c r="D7" s="526"/>
      <c r="E7" s="494"/>
      <c r="F7" s="494"/>
      <c r="G7" s="494"/>
      <c r="H7" s="494"/>
      <c r="I7" s="494"/>
      <c r="J7" s="494"/>
      <c r="K7" s="494"/>
    </row>
    <row r="8" spans="1:11" x14ac:dyDescent="0.35">
      <c r="A8" s="643"/>
      <c r="B8" s="365"/>
      <c r="C8" s="365"/>
      <c r="D8" s="526"/>
      <c r="E8" s="494"/>
      <c r="F8" s="494"/>
      <c r="G8" s="494"/>
      <c r="H8" s="494"/>
      <c r="I8" s="494"/>
      <c r="J8" s="494"/>
      <c r="K8" s="494"/>
    </row>
    <row r="9" spans="1:11" x14ac:dyDescent="0.35">
      <c r="A9" s="643"/>
      <c r="B9" s="365"/>
      <c r="C9" s="365"/>
      <c r="D9" s="526"/>
      <c r="E9" s="494"/>
      <c r="F9" s="494"/>
      <c r="G9" s="494"/>
      <c r="H9" s="494"/>
      <c r="I9" s="494"/>
      <c r="J9" s="494"/>
      <c r="K9" s="494"/>
    </row>
    <row r="10" spans="1:11" x14ac:dyDescent="0.35">
      <c r="A10" s="643"/>
      <c r="B10" s="365"/>
      <c r="C10" s="365"/>
      <c r="D10" s="526"/>
      <c r="E10" s="494"/>
      <c r="F10" s="494"/>
      <c r="G10" s="494"/>
      <c r="H10" s="494"/>
      <c r="I10" s="494"/>
      <c r="J10" s="494"/>
      <c r="K10" s="494"/>
    </row>
    <row r="11" spans="1:11" x14ac:dyDescent="0.35">
      <c r="A11" s="643"/>
      <c r="B11" s="365"/>
      <c r="C11" s="365"/>
      <c r="D11" s="526"/>
      <c r="E11" s="494"/>
      <c r="F11" s="494"/>
      <c r="G11" s="494"/>
      <c r="H11" s="494"/>
      <c r="I11" s="494"/>
      <c r="J11" s="494"/>
      <c r="K11" s="494"/>
    </row>
    <row r="12" spans="1:11" x14ac:dyDescent="0.35">
      <c r="A12" s="643"/>
      <c r="B12" s="365"/>
      <c r="C12" s="365"/>
      <c r="D12" s="526"/>
      <c r="E12" s="494"/>
      <c r="F12" s="494"/>
      <c r="G12" s="494"/>
      <c r="H12" s="494"/>
      <c r="I12" s="494"/>
      <c r="J12" s="494"/>
      <c r="K12" s="494"/>
    </row>
    <row r="13" spans="1:11" x14ac:dyDescent="0.35">
      <c r="A13" s="643"/>
      <c r="B13" s="365"/>
      <c r="C13" s="365"/>
      <c r="D13" s="526"/>
      <c r="E13" s="494"/>
      <c r="F13" s="494"/>
      <c r="G13" s="494"/>
      <c r="H13" s="494"/>
      <c r="I13" s="494"/>
      <c r="J13" s="494"/>
      <c r="K13" s="494"/>
    </row>
    <row r="14" spans="1:11" x14ac:dyDescent="0.35">
      <c r="A14" s="643"/>
      <c r="B14" s="365"/>
      <c r="C14" s="365"/>
      <c r="D14" s="526"/>
      <c r="E14" s="494"/>
      <c r="F14" s="494"/>
      <c r="G14" s="494"/>
      <c r="H14" s="494"/>
      <c r="I14" s="494"/>
      <c r="J14" s="494"/>
      <c r="K14" s="494"/>
    </row>
    <row r="15" spans="1:11" x14ac:dyDescent="0.35">
      <c r="A15" s="643"/>
      <c r="B15" s="365"/>
      <c r="C15" s="365"/>
      <c r="D15" s="526"/>
      <c r="E15" s="494"/>
      <c r="F15" s="494"/>
      <c r="G15" s="494"/>
      <c r="H15" s="494"/>
      <c r="I15" s="494"/>
      <c r="J15" s="494"/>
      <c r="K15" s="494"/>
    </row>
    <row r="16" spans="1:11" x14ac:dyDescent="0.35">
      <c r="A16" s="643"/>
      <c r="B16" s="365"/>
      <c r="C16" s="365"/>
      <c r="D16" s="526"/>
      <c r="E16" s="494"/>
      <c r="F16" s="494"/>
      <c r="G16" s="494"/>
      <c r="H16" s="494"/>
      <c r="I16" s="494"/>
      <c r="J16" s="494"/>
      <c r="K16" s="494"/>
    </row>
    <row r="17" spans="1:11" x14ac:dyDescent="0.35">
      <c r="A17" s="643"/>
      <c r="B17" s="365"/>
      <c r="C17" s="365"/>
      <c r="D17" s="526"/>
      <c r="E17" s="494"/>
      <c r="F17" s="494"/>
      <c r="G17" s="494"/>
      <c r="H17" s="494"/>
      <c r="I17" s="494"/>
      <c r="J17" s="494"/>
      <c r="K17" s="494"/>
    </row>
    <row r="18" spans="1:11" x14ac:dyDescent="0.35">
      <c r="A18" s="643"/>
      <c r="B18" s="365"/>
      <c r="C18" s="365"/>
      <c r="D18" s="526"/>
      <c r="E18" s="494"/>
      <c r="F18" s="494"/>
      <c r="G18" s="494"/>
      <c r="H18" s="494"/>
      <c r="I18" s="494"/>
      <c r="J18" s="494"/>
      <c r="K18" s="494"/>
    </row>
    <row r="19" spans="1:11" x14ac:dyDescent="0.35">
      <c r="A19" s="643"/>
      <c r="B19" s="365"/>
      <c r="C19" s="365"/>
      <c r="D19" s="526"/>
      <c r="E19" s="494"/>
      <c r="F19" s="494"/>
      <c r="G19" s="494"/>
      <c r="H19" s="494"/>
      <c r="I19" s="494"/>
      <c r="J19" s="494"/>
      <c r="K19" s="494"/>
    </row>
    <row r="20" spans="1:11" x14ac:dyDescent="0.35">
      <c r="A20" s="643"/>
      <c r="B20" s="365"/>
      <c r="C20" s="365"/>
      <c r="D20" s="526"/>
      <c r="E20" s="494"/>
      <c r="F20" s="494"/>
      <c r="G20" s="494"/>
      <c r="H20" s="494"/>
      <c r="I20" s="494"/>
      <c r="J20" s="494"/>
      <c r="K20" s="494"/>
    </row>
    <row r="21" spans="1:11" x14ac:dyDescent="0.35">
      <c r="A21" s="643"/>
      <c r="B21" s="365"/>
      <c r="C21" s="365"/>
      <c r="D21" s="526"/>
      <c r="E21" s="494"/>
      <c r="F21" s="494"/>
      <c r="G21" s="494"/>
      <c r="H21" s="494"/>
      <c r="I21" s="494"/>
      <c r="J21" s="494"/>
      <c r="K21" s="494"/>
    </row>
    <row r="22" spans="1:11" x14ac:dyDescent="0.35">
      <c r="A22" s="643"/>
      <c r="B22" s="365"/>
      <c r="C22" s="365"/>
      <c r="D22" s="526"/>
      <c r="E22" s="494"/>
      <c r="F22" s="494"/>
      <c r="G22" s="494"/>
      <c r="H22" s="494"/>
      <c r="I22" s="494"/>
      <c r="J22" s="494"/>
      <c r="K22" s="494"/>
    </row>
    <row r="23" spans="1:11" x14ac:dyDescent="0.35">
      <c r="A23" s="643"/>
      <c r="B23" s="365"/>
      <c r="C23" s="365"/>
      <c r="E23" s="494"/>
      <c r="F23" s="494"/>
      <c r="G23" s="494"/>
      <c r="H23" s="494"/>
      <c r="I23" s="494"/>
      <c r="J23" s="494"/>
      <c r="K23" s="494"/>
    </row>
    <row r="24" spans="1:11" x14ac:dyDescent="0.35">
      <c r="A24" s="643"/>
      <c r="B24" s="365"/>
      <c r="C24" s="365"/>
      <c r="E24" s="494"/>
      <c r="F24" s="494"/>
      <c r="G24" s="494"/>
      <c r="H24" s="494"/>
      <c r="I24" s="494"/>
      <c r="J24" s="494"/>
      <c r="K24" s="494"/>
    </row>
    <row r="25" spans="1:11" x14ac:dyDescent="0.35">
      <c r="A25" s="643"/>
      <c r="B25" s="365"/>
      <c r="C25" s="365"/>
      <c r="E25" s="494"/>
      <c r="F25" s="494"/>
      <c r="G25" s="494"/>
      <c r="H25" s="494"/>
      <c r="I25" s="494"/>
      <c r="J25" s="494"/>
      <c r="K25" s="494"/>
    </row>
    <row r="26" spans="1:11" x14ac:dyDescent="0.35">
      <c r="A26" s="643"/>
      <c r="B26" s="365"/>
      <c r="C26" s="365"/>
      <c r="E26" s="494"/>
      <c r="F26" s="494"/>
      <c r="G26" s="494"/>
      <c r="H26" s="494"/>
      <c r="I26" s="494"/>
      <c r="J26" s="494"/>
      <c r="K26" s="494"/>
    </row>
    <row r="27" spans="1:11" x14ac:dyDescent="0.35">
      <c r="A27" s="643"/>
      <c r="B27" s="365"/>
      <c r="C27" s="365"/>
      <c r="E27" s="494"/>
      <c r="F27" s="494"/>
      <c r="G27" s="494"/>
      <c r="H27" s="494"/>
      <c r="I27" s="494"/>
      <c r="J27" s="494"/>
      <c r="K27" s="494"/>
    </row>
    <row r="28" spans="1:11" x14ac:dyDescent="0.35">
      <c r="A28" s="643"/>
      <c r="B28" s="365"/>
      <c r="C28" s="365"/>
      <c r="E28" s="494"/>
      <c r="F28" s="494"/>
      <c r="G28" s="494"/>
      <c r="H28" s="494"/>
      <c r="I28" s="494"/>
      <c r="J28" s="494"/>
      <c r="K28" s="494"/>
    </row>
    <row r="29" spans="1:11" x14ac:dyDescent="0.35">
      <c r="A29" s="643"/>
      <c r="B29" s="365"/>
      <c r="C29" s="365"/>
      <c r="E29" s="494"/>
      <c r="F29" s="494"/>
      <c r="G29" s="494"/>
      <c r="H29" s="494"/>
      <c r="I29" s="494"/>
      <c r="J29" s="494"/>
      <c r="K29" s="494"/>
    </row>
    <row r="30" spans="1:11" x14ac:dyDescent="0.35">
      <c r="A30" s="643"/>
      <c r="B30" s="365"/>
      <c r="C30" s="365"/>
      <c r="E30" s="494"/>
      <c r="F30" s="494"/>
      <c r="G30" s="494"/>
      <c r="H30" s="494"/>
      <c r="I30" s="494"/>
      <c r="J30" s="494"/>
      <c r="K30" s="494"/>
    </row>
    <row r="31" spans="1:11" x14ac:dyDescent="0.35">
      <c r="A31" s="643"/>
      <c r="B31" s="365"/>
      <c r="C31" s="365"/>
      <c r="E31" s="494"/>
      <c r="F31" s="494"/>
      <c r="G31" s="494"/>
      <c r="H31" s="494"/>
      <c r="I31" s="494"/>
      <c r="J31" s="494"/>
      <c r="K31" s="494"/>
    </row>
    <row r="32" spans="1:11" x14ac:dyDescent="0.35">
      <c r="A32" s="643"/>
      <c r="B32" s="365"/>
      <c r="C32" s="365"/>
      <c r="E32" s="494"/>
      <c r="F32" s="494"/>
      <c r="G32" s="494"/>
      <c r="H32" s="494"/>
      <c r="I32" s="494"/>
      <c r="J32" s="494"/>
      <c r="K32" s="494"/>
    </row>
    <row r="33" spans="1:11" x14ac:dyDescent="0.35">
      <c r="A33" s="643"/>
      <c r="B33" s="365"/>
      <c r="C33" s="365"/>
      <c r="E33" s="494"/>
      <c r="F33" s="494"/>
      <c r="G33" s="494"/>
      <c r="H33" s="494"/>
      <c r="I33" s="494"/>
      <c r="J33" s="494"/>
      <c r="K33" s="494"/>
    </row>
    <row r="34" spans="1:11" x14ac:dyDescent="0.35">
      <c r="A34" s="643"/>
      <c r="B34" s="365"/>
      <c r="C34" s="365"/>
      <c r="E34" s="494"/>
      <c r="F34" s="494"/>
      <c r="G34" s="494"/>
      <c r="H34" s="494"/>
      <c r="I34" s="494"/>
      <c r="J34" s="494"/>
      <c r="K34" s="494"/>
    </row>
    <row r="35" spans="1:11" x14ac:dyDescent="0.35">
      <c r="A35" s="643"/>
      <c r="B35" s="365"/>
      <c r="C35" s="365"/>
      <c r="E35" s="494"/>
      <c r="F35" s="494"/>
      <c r="G35" s="494"/>
      <c r="H35" s="494"/>
      <c r="I35" s="494"/>
      <c r="J35" s="494"/>
      <c r="K35" s="494"/>
    </row>
    <row r="36" spans="1:11" x14ac:dyDescent="0.35">
      <c r="A36" s="643"/>
      <c r="B36" s="365"/>
      <c r="C36" s="365"/>
      <c r="E36" s="494"/>
      <c r="F36" s="494"/>
      <c r="G36" s="494"/>
      <c r="H36" s="494"/>
      <c r="I36" s="494"/>
      <c r="J36" s="494"/>
      <c r="K36" s="494"/>
    </row>
    <row r="37" spans="1:11" ht="15" customHeight="1" thickBot="1" x14ac:dyDescent="0.4">
      <c r="A37" s="643"/>
      <c r="B37" s="511"/>
      <c r="C37" s="511"/>
      <c r="D37" s="181"/>
      <c r="E37" s="512"/>
      <c r="F37" s="512"/>
      <c r="G37" s="512"/>
      <c r="H37" s="512"/>
      <c r="I37" s="512"/>
      <c r="J37" s="512"/>
      <c r="K37" s="512"/>
    </row>
    <row r="38" spans="1:11" ht="15" customHeight="1" x14ac:dyDescent="0.35">
      <c r="A38" s="646" t="s">
        <v>1471</v>
      </c>
      <c r="B38" s="365"/>
      <c r="C38" s="365"/>
      <c r="E38" s="494"/>
      <c r="F38" s="494"/>
      <c r="G38" s="494"/>
      <c r="H38" s="494"/>
      <c r="I38" s="494"/>
      <c r="J38" s="494"/>
      <c r="K38" s="494"/>
    </row>
    <row r="39" spans="1:11" ht="15" customHeight="1" x14ac:dyDescent="0.35">
      <c r="A39" s="647"/>
      <c r="B39" s="365"/>
      <c r="C39" s="365"/>
      <c r="E39" s="494"/>
      <c r="F39" s="494"/>
      <c r="G39" s="494"/>
      <c r="H39" s="494"/>
      <c r="I39" s="494"/>
      <c r="J39" s="494"/>
      <c r="K39" s="494"/>
    </row>
    <row r="40" spans="1:11" ht="15" customHeight="1" x14ac:dyDescent="0.35">
      <c r="A40" s="647"/>
      <c r="B40" s="365"/>
      <c r="C40" s="365"/>
      <c r="E40" s="494"/>
      <c r="F40" s="494"/>
      <c r="G40" s="494"/>
      <c r="H40" s="494"/>
      <c r="I40" s="494"/>
      <c r="J40" s="494"/>
      <c r="K40" s="494"/>
    </row>
    <row r="41" spans="1:11" ht="15" customHeight="1" thickBot="1" x14ac:dyDescent="0.4">
      <c r="A41" s="648"/>
      <c r="B41" s="511"/>
      <c r="C41" s="511"/>
      <c r="D41" s="181"/>
      <c r="E41" s="512"/>
      <c r="F41" s="512"/>
      <c r="G41" s="512"/>
      <c r="H41" s="512"/>
      <c r="I41" s="512"/>
      <c r="J41" s="512"/>
      <c r="K41" s="512"/>
    </row>
    <row r="42" spans="1:11" ht="16.5" customHeight="1" x14ac:dyDescent="0.35">
      <c r="A42" s="644" t="s">
        <v>1469</v>
      </c>
      <c r="B42" s="527"/>
      <c r="C42" s="527"/>
      <c r="D42" s="553"/>
      <c r="E42" s="528"/>
      <c r="F42" s="528"/>
      <c r="G42" s="528"/>
      <c r="H42" s="528"/>
      <c r="I42" s="528"/>
      <c r="J42" s="528"/>
      <c r="K42" s="528"/>
    </row>
    <row r="43" spans="1:11" ht="16.5" customHeight="1" x14ac:dyDescent="0.35">
      <c r="A43" s="645"/>
      <c r="B43" s="365"/>
      <c r="C43" s="365"/>
      <c r="E43" s="494"/>
      <c r="F43" s="494"/>
      <c r="G43" s="494"/>
      <c r="H43" s="494"/>
      <c r="I43" s="494"/>
      <c r="J43" s="494"/>
      <c r="K43" s="494"/>
    </row>
    <row r="44" spans="1:11" ht="16.5" customHeight="1" thickBot="1" x14ac:dyDescent="0.4">
      <c r="A44" s="645"/>
      <c r="B44" s="511"/>
      <c r="C44" s="511"/>
      <c r="D44" s="181"/>
      <c r="E44" s="512"/>
      <c r="F44" s="512"/>
      <c r="G44" s="512"/>
      <c r="H44" s="512"/>
      <c r="I44" s="512"/>
      <c r="J44" s="512"/>
      <c r="K44" s="512"/>
    </row>
    <row r="45" spans="1:11" ht="15" customHeight="1" x14ac:dyDescent="0.35">
      <c r="A45" s="652" t="s">
        <v>1472</v>
      </c>
      <c r="B45" s="365"/>
      <c r="C45" s="365"/>
      <c r="D45" s="107">
        <v>11284060</v>
      </c>
      <c r="E45" s="494"/>
      <c r="F45" s="494"/>
      <c r="G45" s="494"/>
      <c r="H45" s="494"/>
      <c r="I45" s="494"/>
      <c r="J45" s="494"/>
      <c r="K45" s="494"/>
    </row>
    <row r="46" spans="1:11" ht="15" customHeight="1" x14ac:dyDescent="0.35">
      <c r="A46" s="653"/>
      <c r="B46" s="365"/>
      <c r="C46" s="365"/>
      <c r="D46" s="107">
        <v>11283966</v>
      </c>
      <c r="E46" s="494"/>
      <c r="F46" s="494"/>
      <c r="G46" s="494"/>
      <c r="H46" s="494"/>
      <c r="I46" s="494"/>
      <c r="J46" s="494"/>
      <c r="K46" s="494"/>
    </row>
    <row r="47" spans="1:11" ht="15" customHeight="1" thickBot="1" x14ac:dyDescent="0.4">
      <c r="A47" s="654"/>
      <c r="B47" s="511"/>
      <c r="C47" s="511"/>
      <c r="D47" s="181">
        <v>11283969</v>
      </c>
      <c r="E47" s="512"/>
      <c r="F47" s="512"/>
      <c r="G47" s="512"/>
      <c r="H47" s="512"/>
      <c r="I47" s="512"/>
      <c r="J47" s="512"/>
      <c r="K47" s="512"/>
    </row>
    <row r="48" spans="1:11" ht="15" customHeight="1" x14ac:dyDescent="0.35">
      <c r="A48" s="649" t="s">
        <v>1467</v>
      </c>
      <c r="B48" s="527"/>
      <c r="C48" s="527"/>
      <c r="D48" s="554">
        <v>11365329</v>
      </c>
      <c r="E48" s="528"/>
      <c r="F48" s="528"/>
      <c r="G48" s="528"/>
      <c r="H48" s="528"/>
      <c r="I48" s="528"/>
      <c r="J48" s="528"/>
      <c r="K48" s="528"/>
    </row>
    <row r="49" spans="1:11" ht="15" customHeight="1" x14ac:dyDescent="0.35">
      <c r="A49" s="650"/>
      <c r="B49" s="365"/>
      <c r="C49" s="365"/>
      <c r="D49" s="526">
        <v>11361131</v>
      </c>
      <c r="E49" s="494"/>
      <c r="F49" s="494"/>
      <c r="G49" s="494"/>
      <c r="H49" s="494"/>
      <c r="I49" s="494"/>
      <c r="J49" s="494"/>
      <c r="K49" s="494"/>
    </row>
    <row r="50" spans="1:11" ht="15" customHeight="1" x14ac:dyDescent="0.35">
      <c r="A50" s="650"/>
      <c r="B50" s="365"/>
      <c r="C50" s="365"/>
      <c r="D50" s="526">
        <v>11343931</v>
      </c>
      <c r="E50" s="494"/>
      <c r="F50" s="494"/>
      <c r="G50" s="494"/>
      <c r="H50" s="494"/>
      <c r="I50" s="494"/>
      <c r="J50" s="494"/>
      <c r="K50" s="494"/>
    </row>
    <row r="51" spans="1:11" ht="15" customHeight="1" x14ac:dyDescent="0.35">
      <c r="A51" s="650"/>
      <c r="B51" s="365"/>
      <c r="C51" s="365"/>
      <c r="D51" s="526">
        <v>11347328</v>
      </c>
      <c r="E51" s="494"/>
      <c r="F51" s="494"/>
      <c r="G51" s="494"/>
      <c r="H51" s="494"/>
      <c r="I51" s="494"/>
      <c r="J51" s="494"/>
      <c r="K51" s="494"/>
    </row>
    <row r="52" spans="1:11" ht="15" customHeight="1" x14ac:dyDescent="0.35">
      <c r="A52" s="650"/>
      <c r="B52" s="365"/>
      <c r="C52" s="365"/>
      <c r="D52" s="526">
        <v>11349605</v>
      </c>
      <c r="E52" s="494"/>
      <c r="F52" s="494"/>
      <c r="G52" s="494"/>
      <c r="H52" s="494"/>
      <c r="I52" s="494"/>
      <c r="J52" s="494"/>
      <c r="K52" s="494"/>
    </row>
    <row r="53" spans="1:11" ht="15" customHeight="1" x14ac:dyDescent="0.35">
      <c r="A53" s="650"/>
      <c r="B53" s="365"/>
      <c r="C53" s="365"/>
      <c r="D53" s="526">
        <v>11363343</v>
      </c>
      <c r="E53" s="494"/>
      <c r="F53" s="494"/>
      <c r="G53" s="494"/>
      <c r="H53" s="494"/>
      <c r="I53" s="494"/>
      <c r="J53" s="494"/>
      <c r="K53" s="494"/>
    </row>
    <row r="54" spans="1:11" ht="15.75" customHeight="1" x14ac:dyDescent="0.35">
      <c r="A54" s="650"/>
      <c r="B54" s="365"/>
      <c r="C54" s="365"/>
      <c r="D54" s="526">
        <v>11365323</v>
      </c>
      <c r="E54" s="494"/>
      <c r="F54" s="494"/>
      <c r="G54" s="494"/>
      <c r="H54" s="494"/>
      <c r="I54" s="494"/>
      <c r="J54" s="494"/>
      <c r="K54" s="494"/>
    </row>
    <row r="55" spans="1:11" ht="15" customHeight="1" thickBot="1" x14ac:dyDescent="0.4">
      <c r="A55" s="651"/>
      <c r="B55" s="511"/>
      <c r="C55" s="511"/>
      <c r="D55" s="529">
        <v>11353566</v>
      </c>
      <c r="E55" s="512"/>
      <c r="F55" s="512"/>
      <c r="G55" s="512"/>
      <c r="H55" s="512"/>
      <c r="I55" s="512"/>
      <c r="J55" s="512"/>
      <c r="K55" s="512"/>
    </row>
  </sheetData>
  <autoFilter ref="A1:K45" xr:uid="{00000000-0009-0000-0000-000004000000}"/>
  <sortState xmlns:xlrd2="http://schemas.microsoft.com/office/spreadsheetml/2017/richdata2" ref="F66:F74">
    <sortCondition ref="F66:F74"/>
  </sortState>
  <mergeCells count="5">
    <mergeCell ref="A2:A37"/>
    <mergeCell ref="A42:A44"/>
    <mergeCell ref="A38:A41"/>
    <mergeCell ref="A48:A55"/>
    <mergeCell ref="A45:A47"/>
  </mergeCells>
  <phoneticPr fontId="11" type="noConversion"/>
  <conditionalFormatting sqref="D1:D37 D42:D1048576">
    <cfRule type="duplicateValues" dxfId="42" priority="10"/>
  </conditionalFormatting>
  <conditionalFormatting sqref="D38:D41">
    <cfRule type="duplicateValues" dxfId="41" priority="1"/>
    <cfRule type="duplicateValues" dxfId="40" priority="2"/>
  </conditionalFormatting>
  <conditionalFormatting sqref="D42:D44">
    <cfRule type="duplicateValues" dxfId="39" priority="1977"/>
  </conditionalFormatting>
  <conditionalFormatting sqref="D45:D47">
    <cfRule type="duplicateValues" dxfId="38" priority="1967"/>
  </conditionalFormatting>
  <conditionalFormatting sqref="D48:D1048576 D1:D37">
    <cfRule type="duplicateValues" dxfId="37" priority="1328"/>
  </conditionalFormatting>
  <conditionalFormatting sqref="D52:D1048576 D1">
    <cfRule type="duplicateValues" dxfId="36" priority="1629"/>
  </conditionalFormatting>
  <conditionalFormatting sqref="D52:D1048576">
    <cfRule type="duplicateValues" dxfId="35" priority="1632"/>
    <cfRule type="duplicateValues" dxfId="34" priority="1633"/>
    <cfRule type="duplicateValues" dxfId="33" priority="1634"/>
  </conditionalFormatting>
  <conditionalFormatting sqref="D48:E51 F48 D52:F1048576 D1:F37">
    <cfRule type="duplicateValues" dxfId="32" priority="1638"/>
  </conditionalFormatting>
  <conditionalFormatting sqref="D38:F41">
    <cfRule type="duplicateValues" dxfId="31" priority="3"/>
  </conditionalFormatting>
  <conditionalFormatting sqref="D42:F44">
    <cfRule type="duplicateValues" dxfId="30" priority="1983"/>
  </conditionalFormatting>
  <conditionalFormatting sqref="D45:F47">
    <cfRule type="duplicateValues" dxfId="29" priority="1973"/>
  </conditionalFormatting>
  <conditionalFormatting sqref="E48:E51 F48">
    <cfRule type="duplicateValues" dxfId="28" priority="1643"/>
    <cfRule type="duplicateValues" dxfId="27" priority="1644"/>
  </conditionalFormatting>
  <conditionalFormatting sqref="F49:F51">
    <cfRule type="duplicateValues" dxfId="26" priority="1647"/>
  </conditionalFormatting>
  <conditionalFormatting sqref="G4">
    <cfRule type="duplicateValues" dxfId="25" priority="52"/>
  </conditionalFormatting>
  <conditionalFormatting sqref="G5:G6">
    <cfRule type="duplicateValues" dxfId="24" priority="51"/>
  </conditionalFormatting>
  <pageMargins left="0.7" right="0.7" top="0.75" bottom="0.75" header="0.3" footer="0.3"/>
  <pageSetup paperSize="9" scale="57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 tint="-0.249977111117893"/>
    <pageSetUpPr fitToPage="1"/>
  </sheetPr>
  <dimension ref="A1:X208"/>
  <sheetViews>
    <sheetView showGridLines="0" topLeftCell="B1" zoomScaleNormal="100" workbookViewId="0">
      <pane ySplit="1" topLeftCell="A38" activePane="bottomLeft" state="frozen"/>
      <selection activeCell="D1" sqref="D1:T314"/>
      <selection pane="bottomLeft" activeCell="W1" sqref="W1:W1048576"/>
    </sheetView>
  </sheetViews>
  <sheetFormatPr baseColWidth="10" defaultColWidth="11.453125" defaultRowHeight="12" x14ac:dyDescent="0.3"/>
  <cols>
    <col min="1" max="1" width="10.26953125" style="2" customWidth="1"/>
    <col min="2" max="2" width="18.54296875" style="2" customWidth="1"/>
    <col min="3" max="3" width="16" style="2" customWidth="1"/>
    <col min="4" max="4" width="31.54296875" style="2" customWidth="1"/>
    <col min="5" max="5" width="37.1796875" style="2" customWidth="1"/>
    <col min="6" max="6" width="10" style="2" bestFit="1" customWidth="1"/>
    <col min="7" max="7" width="9" style="2" bestFit="1" customWidth="1"/>
    <col min="8" max="8" width="10.54296875" style="20" hidden="1" customWidth="1"/>
    <col min="9" max="9" width="10.1796875" style="20" hidden="1" customWidth="1"/>
    <col min="10" max="10" width="10.81640625" style="20" hidden="1" customWidth="1"/>
    <col min="11" max="11" width="10.453125" style="2" hidden="1" customWidth="1"/>
    <col min="12" max="12" width="10.81640625" style="2" hidden="1" customWidth="1"/>
    <col min="13" max="13" width="10.453125" style="2" hidden="1" customWidth="1"/>
    <col min="14" max="14" width="11" style="431" hidden="1" customWidth="1"/>
    <col min="15" max="15" width="5.7265625" style="2" hidden="1" customWidth="1"/>
    <col min="16" max="16" width="5.26953125" style="2" hidden="1" customWidth="1"/>
    <col min="17" max="17" width="6.1796875" style="2" hidden="1" customWidth="1"/>
    <col min="18" max="18" width="6.7265625" style="2" hidden="1" customWidth="1"/>
    <col min="19" max="19" width="10.1796875" style="2" hidden="1" customWidth="1"/>
    <col min="20" max="20" width="0" style="2" hidden="1" customWidth="1"/>
    <col min="21" max="21" width="10.1796875" style="2" hidden="1" customWidth="1"/>
    <col min="22" max="22" width="0" style="431" hidden="1" customWidth="1"/>
    <col min="23" max="23" width="0" style="2" hidden="1" customWidth="1"/>
    <col min="24" max="16384" width="11.453125" style="2"/>
  </cols>
  <sheetData>
    <row r="1" spans="1:24" ht="15" customHeight="1" x14ac:dyDescent="0.3">
      <c r="A1" s="104" t="s">
        <v>1</v>
      </c>
      <c r="B1" s="105" t="s">
        <v>2</v>
      </c>
      <c r="C1" s="105" t="s">
        <v>1015</v>
      </c>
      <c r="D1" s="105"/>
      <c r="E1" s="105" t="s">
        <v>1014</v>
      </c>
      <c r="F1" s="105" t="s">
        <v>559</v>
      </c>
      <c r="G1" s="105" t="s">
        <v>403</v>
      </c>
      <c r="H1" s="213">
        <v>45597</v>
      </c>
      <c r="I1" s="213">
        <v>45627</v>
      </c>
      <c r="J1" s="430">
        <v>45658</v>
      </c>
      <c r="K1" s="430">
        <v>45689</v>
      </c>
      <c r="L1" s="430">
        <v>45717</v>
      </c>
      <c r="M1" s="430">
        <v>45748</v>
      </c>
      <c r="N1" s="213">
        <v>45778</v>
      </c>
      <c r="O1" s="456">
        <v>45809</v>
      </c>
      <c r="P1" s="456">
        <v>45839</v>
      </c>
      <c r="Q1" s="456">
        <v>45870</v>
      </c>
      <c r="R1" s="456">
        <v>45901</v>
      </c>
      <c r="S1" s="430">
        <v>45931</v>
      </c>
      <c r="T1" s="430">
        <v>45962</v>
      </c>
      <c r="U1" s="430">
        <v>45992</v>
      </c>
      <c r="V1" s="213">
        <v>46023</v>
      </c>
      <c r="W1" s="213">
        <v>46054</v>
      </c>
      <c r="X1" s="213">
        <v>46082</v>
      </c>
    </row>
    <row r="2" spans="1:24" x14ac:dyDescent="0.3">
      <c r="A2" s="2" t="s">
        <v>5</v>
      </c>
      <c r="B2" s="509" t="s">
        <v>1002</v>
      </c>
      <c r="C2" s="422" t="s">
        <v>1021</v>
      </c>
      <c r="D2" s="422" t="s">
        <v>1217</v>
      </c>
      <c r="E2" s="422" t="s">
        <v>1148</v>
      </c>
      <c r="F2" s="95" t="s">
        <v>556</v>
      </c>
      <c r="G2" s="423">
        <v>1</v>
      </c>
      <c r="H2" s="20">
        <v>1</v>
      </c>
      <c r="I2" s="20">
        <v>1</v>
      </c>
      <c r="J2" s="20">
        <v>1</v>
      </c>
      <c r="K2" s="449">
        <v>1</v>
      </c>
      <c r="L2" s="2">
        <v>1</v>
      </c>
      <c r="M2" s="2">
        <v>1</v>
      </c>
      <c r="N2" s="431">
        <v>1</v>
      </c>
      <c r="O2" s="2">
        <v>1</v>
      </c>
      <c r="P2" s="2">
        <v>1</v>
      </c>
      <c r="Q2" s="2">
        <v>1</v>
      </c>
      <c r="R2" s="2">
        <v>1</v>
      </c>
      <c r="S2" s="20">
        <v>1</v>
      </c>
      <c r="T2" s="2">
        <v>1</v>
      </c>
      <c r="U2" s="2">
        <v>1</v>
      </c>
      <c r="V2" s="431">
        <v>1</v>
      </c>
      <c r="W2" s="213">
        <v>46082</v>
      </c>
    </row>
    <row r="3" spans="1:24" x14ac:dyDescent="0.3">
      <c r="A3" s="2" t="s">
        <v>5</v>
      </c>
      <c r="B3" s="509" t="s">
        <v>1002</v>
      </c>
      <c r="C3" s="422" t="s">
        <v>1023</v>
      </c>
      <c r="D3" s="422" t="s">
        <v>880</v>
      </c>
      <c r="E3" s="422" t="s">
        <v>1544</v>
      </c>
      <c r="F3" s="95" t="s">
        <v>1010</v>
      </c>
      <c r="G3" s="423">
        <v>1</v>
      </c>
      <c r="H3" s="20">
        <v>1</v>
      </c>
      <c r="I3" s="20">
        <v>1</v>
      </c>
      <c r="J3" s="20">
        <v>1</v>
      </c>
      <c r="K3" s="449">
        <v>1</v>
      </c>
      <c r="L3" s="2">
        <v>1</v>
      </c>
      <c r="M3" s="2">
        <v>1</v>
      </c>
      <c r="N3" s="431">
        <v>1</v>
      </c>
      <c r="O3" s="2">
        <v>1</v>
      </c>
      <c r="P3" s="2">
        <v>1</v>
      </c>
      <c r="Q3" s="2">
        <v>1</v>
      </c>
      <c r="R3" s="2">
        <v>1</v>
      </c>
      <c r="S3" s="20">
        <v>1</v>
      </c>
      <c r="T3" s="2">
        <v>1</v>
      </c>
      <c r="U3" s="2">
        <v>1</v>
      </c>
      <c r="V3" s="431">
        <v>1</v>
      </c>
      <c r="W3" s="213">
        <v>46113</v>
      </c>
    </row>
    <row r="4" spans="1:24" x14ac:dyDescent="0.3">
      <c r="A4" s="2" t="s">
        <v>5</v>
      </c>
      <c r="B4" s="509" t="s">
        <v>1002</v>
      </c>
      <c r="C4" s="422" t="s">
        <v>174</v>
      </c>
      <c r="D4" s="422" t="s">
        <v>884</v>
      </c>
      <c r="E4" s="422" t="s">
        <v>1003</v>
      </c>
      <c r="F4" s="95" t="s">
        <v>1010</v>
      </c>
      <c r="G4" s="423">
        <v>1</v>
      </c>
      <c r="H4" s="20">
        <v>1</v>
      </c>
      <c r="I4" s="20">
        <v>1</v>
      </c>
      <c r="J4" s="20">
        <v>1</v>
      </c>
      <c r="K4" s="449">
        <v>1</v>
      </c>
      <c r="L4" s="2">
        <v>1</v>
      </c>
      <c r="M4" s="2">
        <v>1</v>
      </c>
      <c r="N4" s="431">
        <v>1</v>
      </c>
      <c r="O4" s="2">
        <v>1</v>
      </c>
      <c r="P4" s="2">
        <v>1</v>
      </c>
      <c r="Q4" s="2">
        <v>1</v>
      </c>
      <c r="R4" s="2">
        <v>1</v>
      </c>
      <c r="S4" s="20">
        <v>1</v>
      </c>
      <c r="T4" s="2">
        <v>1</v>
      </c>
      <c r="U4" s="2">
        <v>1</v>
      </c>
      <c r="V4" s="431">
        <v>1</v>
      </c>
      <c r="W4" s="213">
        <v>46143</v>
      </c>
    </row>
    <row r="5" spans="1:24" x14ac:dyDescent="0.3">
      <c r="A5" s="2" t="s">
        <v>5</v>
      </c>
      <c r="B5" s="509" t="s">
        <v>1002</v>
      </c>
      <c r="C5" s="422" t="s">
        <v>1025</v>
      </c>
      <c r="D5" s="422" t="s">
        <v>882</v>
      </c>
      <c r="E5" s="422" t="s">
        <v>1004</v>
      </c>
      <c r="F5" s="95" t="s">
        <v>1010</v>
      </c>
      <c r="G5" s="423">
        <v>1</v>
      </c>
      <c r="H5" s="20">
        <v>1</v>
      </c>
      <c r="I5" s="20">
        <v>1</v>
      </c>
      <c r="J5" s="20">
        <v>1</v>
      </c>
      <c r="K5" s="449">
        <v>1</v>
      </c>
      <c r="L5" s="2">
        <v>1</v>
      </c>
      <c r="M5" s="2">
        <v>1</v>
      </c>
      <c r="N5" s="431">
        <v>1</v>
      </c>
      <c r="O5" s="2">
        <v>1</v>
      </c>
      <c r="P5" s="2">
        <v>1</v>
      </c>
      <c r="Q5" s="2">
        <v>1</v>
      </c>
      <c r="R5" s="2">
        <v>1</v>
      </c>
      <c r="S5" s="20">
        <v>1</v>
      </c>
      <c r="T5" s="2">
        <v>1</v>
      </c>
      <c r="U5" s="2">
        <v>1</v>
      </c>
      <c r="V5" s="431">
        <v>1</v>
      </c>
      <c r="W5" s="213">
        <v>46174</v>
      </c>
    </row>
    <row r="6" spans="1:24" x14ac:dyDescent="0.3">
      <c r="A6" s="2" t="s">
        <v>5</v>
      </c>
      <c r="B6" s="422" t="s">
        <v>1002</v>
      </c>
      <c r="C6" s="422" t="s">
        <v>1021</v>
      </c>
      <c r="D6" s="422" t="s">
        <v>1217</v>
      </c>
      <c r="E6" s="422" t="s">
        <v>1366</v>
      </c>
      <c r="F6" s="95" t="s">
        <v>556</v>
      </c>
      <c r="G6" s="423">
        <v>4</v>
      </c>
      <c r="L6" s="2">
        <v>4</v>
      </c>
      <c r="N6" s="20"/>
      <c r="V6" s="2"/>
      <c r="W6" s="213">
        <v>46204</v>
      </c>
    </row>
    <row r="7" spans="1:24" x14ac:dyDescent="0.3">
      <c r="A7" s="2" t="s">
        <v>5</v>
      </c>
      <c r="B7" s="509" t="s">
        <v>1002</v>
      </c>
      <c r="C7" s="422" t="s">
        <v>1021</v>
      </c>
      <c r="D7" s="422" t="s">
        <v>1218</v>
      </c>
      <c r="E7" s="422" t="s">
        <v>1149</v>
      </c>
      <c r="F7" s="95" t="s">
        <v>556</v>
      </c>
      <c r="G7" s="423">
        <v>1</v>
      </c>
      <c r="H7" s="20">
        <v>1</v>
      </c>
      <c r="I7" s="20">
        <v>1</v>
      </c>
      <c r="J7" s="20">
        <v>1</v>
      </c>
      <c r="K7" s="449">
        <v>1</v>
      </c>
      <c r="L7" s="2">
        <v>1</v>
      </c>
      <c r="M7" s="2">
        <v>1</v>
      </c>
      <c r="N7" s="431">
        <v>1</v>
      </c>
      <c r="O7" s="2">
        <v>1</v>
      </c>
      <c r="P7" s="2">
        <v>1</v>
      </c>
      <c r="Q7" s="2">
        <v>1</v>
      </c>
      <c r="R7" s="2">
        <v>1</v>
      </c>
      <c r="S7" s="20">
        <v>1</v>
      </c>
      <c r="T7" s="2">
        <v>1</v>
      </c>
      <c r="U7" s="2">
        <v>1</v>
      </c>
      <c r="V7" s="431">
        <v>1</v>
      </c>
      <c r="W7" s="213">
        <v>46235</v>
      </c>
    </row>
    <row r="8" spans="1:24" x14ac:dyDescent="0.3">
      <c r="A8" s="2" t="s">
        <v>5</v>
      </c>
      <c r="B8" s="509" t="s">
        <v>1002</v>
      </c>
      <c r="C8" s="422" t="s">
        <v>1023</v>
      </c>
      <c r="D8" s="422" t="s">
        <v>1219</v>
      </c>
      <c r="E8" s="422" t="s">
        <v>1005</v>
      </c>
      <c r="F8" s="95" t="s">
        <v>1010</v>
      </c>
      <c r="G8" s="423">
        <v>1</v>
      </c>
      <c r="H8" s="20">
        <v>1</v>
      </c>
      <c r="I8" s="20">
        <v>1</v>
      </c>
      <c r="J8" s="20">
        <v>1</v>
      </c>
      <c r="K8" s="449">
        <v>1</v>
      </c>
      <c r="L8" s="2">
        <v>1</v>
      </c>
      <c r="M8" s="2">
        <v>1</v>
      </c>
      <c r="N8" s="431">
        <v>1</v>
      </c>
      <c r="O8" s="2">
        <v>1</v>
      </c>
      <c r="P8" s="2">
        <v>1</v>
      </c>
      <c r="Q8" s="2">
        <v>1</v>
      </c>
      <c r="R8" s="2">
        <v>1</v>
      </c>
      <c r="S8" s="20">
        <v>1</v>
      </c>
      <c r="T8" s="2">
        <v>1</v>
      </c>
      <c r="U8" s="2">
        <v>1</v>
      </c>
      <c r="V8" s="431">
        <v>1</v>
      </c>
      <c r="W8" s="213">
        <v>46266</v>
      </c>
    </row>
    <row r="9" spans="1:24" x14ac:dyDescent="0.3">
      <c r="A9" s="2" t="s">
        <v>5</v>
      </c>
      <c r="B9" s="509" t="s">
        <v>1016</v>
      </c>
      <c r="C9" s="422" t="s">
        <v>77</v>
      </c>
      <c r="D9" s="422" t="s">
        <v>1220</v>
      </c>
      <c r="E9" s="422" t="s">
        <v>1465</v>
      </c>
      <c r="F9" s="95" t="s">
        <v>555</v>
      </c>
      <c r="G9" s="423">
        <v>1</v>
      </c>
      <c r="H9" s="20">
        <v>1</v>
      </c>
      <c r="I9" s="20">
        <v>1</v>
      </c>
      <c r="J9" s="20">
        <v>1</v>
      </c>
      <c r="K9" s="449">
        <v>1</v>
      </c>
      <c r="L9" s="2">
        <v>1</v>
      </c>
      <c r="M9" s="2">
        <v>1</v>
      </c>
      <c r="N9" s="431">
        <v>1</v>
      </c>
      <c r="O9" s="2">
        <v>1</v>
      </c>
      <c r="P9" s="2">
        <v>1</v>
      </c>
      <c r="Q9" s="2">
        <v>1</v>
      </c>
      <c r="R9" s="2">
        <v>1</v>
      </c>
      <c r="S9" s="20">
        <v>1</v>
      </c>
      <c r="T9" s="2">
        <v>1</v>
      </c>
      <c r="U9" s="2">
        <v>1</v>
      </c>
      <c r="V9" s="431">
        <v>1</v>
      </c>
      <c r="W9" s="213">
        <v>46296</v>
      </c>
    </row>
    <row r="10" spans="1:24" x14ac:dyDescent="0.3">
      <c r="A10" s="2" t="s">
        <v>5</v>
      </c>
      <c r="B10" s="509" t="s">
        <v>1016</v>
      </c>
      <c r="C10" s="422" t="s">
        <v>77</v>
      </c>
      <c r="D10" s="422" t="s">
        <v>1221</v>
      </c>
      <c r="E10" s="424" t="s">
        <v>1464</v>
      </c>
      <c r="F10" s="95" t="s">
        <v>555</v>
      </c>
      <c r="G10" s="423">
        <v>1</v>
      </c>
      <c r="H10" s="20">
        <v>1</v>
      </c>
      <c r="I10" s="20">
        <v>1</v>
      </c>
      <c r="J10" s="20">
        <v>1</v>
      </c>
      <c r="K10" s="449">
        <v>1</v>
      </c>
      <c r="L10" s="2">
        <v>1</v>
      </c>
      <c r="M10" s="2">
        <v>1</v>
      </c>
      <c r="N10" s="431">
        <v>1</v>
      </c>
      <c r="O10" s="2">
        <v>1</v>
      </c>
      <c r="P10" s="2">
        <v>1</v>
      </c>
      <c r="Q10" s="2">
        <v>1</v>
      </c>
      <c r="R10" s="2">
        <v>1</v>
      </c>
      <c r="S10" s="20">
        <v>1</v>
      </c>
      <c r="T10" s="2">
        <v>1</v>
      </c>
      <c r="U10" s="2">
        <v>1</v>
      </c>
      <c r="V10" s="431">
        <v>1</v>
      </c>
      <c r="W10" s="213">
        <v>46327</v>
      </c>
    </row>
    <row r="11" spans="1:24" x14ac:dyDescent="0.3">
      <c r="A11" s="2" t="s">
        <v>5</v>
      </c>
      <c r="B11" s="422" t="s">
        <v>1016</v>
      </c>
      <c r="C11" s="422" t="s">
        <v>77</v>
      </c>
      <c r="D11" s="422" t="s">
        <v>1455</v>
      </c>
      <c r="E11" s="424" t="s">
        <v>1006</v>
      </c>
      <c r="F11" s="95" t="s">
        <v>555</v>
      </c>
      <c r="G11" s="423">
        <v>4</v>
      </c>
      <c r="N11" s="20"/>
      <c r="V11" s="2"/>
      <c r="W11" s="213">
        <v>46357</v>
      </c>
    </row>
    <row r="12" spans="1:24" x14ac:dyDescent="0.3">
      <c r="A12" s="2" t="s">
        <v>5</v>
      </c>
      <c r="B12" s="509" t="s">
        <v>1016</v>
      </c>
      <c r="C12" s="422" t="s">
        <v>77</v>
      </c>
      <c r="D12" s="422" t="s">
        <v>1222</v>
      </c>
      <c r="E12" s="424" t="s">
        <v>1325</v>
      </c>
      <c r="F12" s="95" t="s">
        <v>555</v>
      </c>
      <c r="G12" s="423">
        <v>1</v>
      </c>
      <c r="H12" s="20">
        <v>1</v>
      </c>
      <c r="I12" s="20">
        <v>1</v>
      </c>
      <c r="J12" s="20">
        <v>1</v>
      </c>
      <c r="K12" s="449">
        <v>1</v>
      </c>
      <c r="L12" s="2">
        <v>1</v>
      </c>
      <c r="M12" s="2">
        <v>1</v>
      </c>
      <c r="N12" s="431">
        <v>1</v>
      </c>
      <c r="O12" s="2">
        <v>1</v>
      </c>
      <c r="P12" s="2">
        <v>1</v>
      </c>
      <c r="Q12" s="2">
        <v>1</v>
      </c>
      <c r="R12" s="2">
        <v>1</v>
      </c>
      <c r="S12" s="20">
        <v>1</v>
      </c>
      <c r="T12" s="2">
        <v>1</v>
      </c>
      <c r="U12" s="2">
        <v>1</v>
      </c>
      <c r="V12" s="431">
        <v>1</v>
      </c>
      <c r="W12" s="213">
        <v>46388</v>
      </c>
    </row>
    <row r="13" spans="1:24" x14ac:dyDescent="0.3">
      <c r="A13" s="2" t="s">
        <v>5</v>
      </c>
      <c r="B13" s="509" t="s">
        <v>1016</v>
      </c>
      <c r="C13" s="422" t="s">
        <v>1021</v>
      </c>
      <c r="D13" s="422" t="s">
        <v>1223</v>
      </c>
      <c r="E13" s="424" t="s">
        <v>1326</v>
      </c>
      <c r="F13" s="95" t="s">
        <v>555</v>
      </c>
      <c r="G13" s="423">
        <v>1</v>
      </c>
      <c r="H13" s="20">
        <v>1</v>
      </c>
      <c r="I13" s="20">
        <v>1</v>
      </c>
      <c r="J13" s="20">
        <v>1</v>
      </c>
      <c r="K13" s="449">
        <v>1</v>
      </c>
      <c r="L13" s="2">
        <v>1</v>
      </c>
      <c r="M13" s="2">
        <v>1</v>
      </c>
      <c r="N13" s="431">
        <v>1</v>
      </c>
      <c r="O13" s="2">
        <v>1</v>
      </c>
      <c r="P13" s="2">
        <v>1</v>
      </c>
      <c r="Q13" s="2">
        <v>1</v>
      </c>
      <c r="R13" s="2">
        <v>1</v>
      </c>
      <c r="S13" s="20">
        <v>1</v>
      </c>
      <c r="T13" s="2">
        <v>1</v>
      </c>
      <c r="U13" s="2">
        <v>1</v>
      </c>
      <c r="V13" s="431">
        <v>1</v>
      </c>
      <c r="W13" s="213">
        <v>46419</v>
      </c>
    </row>
    <row r="14" spans="1:24" x14ac:dyDescent="0.3">
      <c r="A14" s="2" t="s">
        <v>5</v>
      </c>
      <c r="B14" s="422" t="s">
        <v>1007</v>
      </c>
      <c r="C14" s="422" t="s">
        <v>1022</v>
      </c>
      <c r="D14" s="422" t="s">
        <v>1224</v>
      </c>
      <c r="E14" s="422" t="s">
        <v>1357</v>
      </c>
      <c r="F14" s="95" t="s">
        <v>557</v>
      </c>
      <c r="G14" s="423">
        <v>2</v>
      </c>
      <c r="H14" s="2"/>
      <c r="I14" s="2"/>
      <c r="J14" s="20">
        <v>2</v>
      </c>
      <c r="M14" s="2">
        <v>2</v>
      </c>
      <c r="N14" s="2"/>
      <c r="P14" s="2">
        <v>2</v>
      </c>
      <c r="S14" s="431">
        <v>2</v>
      </c>
      <c r="V14" s="20">
        <v>2</v>
      </c>
      <c r="W14" s="213">
        <v>46447</v>
      </c>
    </row>
    <row r="15" spans="1:24" x14ac:dyDescent="0.3">
      <c r="A15" s="2" t="s">
        <v>5</v>
      </c>
      <c r="B15" s="509" t="s">
        <v>1017</v>
      </c>
      <c r="C15" s="422" t="s">
        <v>1022</v>
      </c>
      <c r="D15" s="422" t="s">
        <v>1437</v>
      </c>
      <c r="E15" s="424" t="s">
        <v>1327</v>
      </c>
      <c r="F15" s="95" t="s">
        <v>557</v>
      </c>
      <c r="G15" s="423">
        <v>1</v>
      </c>
      <c r="H15" s="20">
        <v>1</v>
      </c>
      <c r="I15" s="20">
        <v>1</v>
      </c>
      <c r="J15" s="20">
        <v>1</v>
      </c>
      <c r="K15" s="449">
        <v>1</v>
      </c>
      <c r="L15" s="2">
        <v>1</v>
      </c>
      <c r="M15" s="2">
        <v>1</v>
      </c>
      <c r="N15" s="431">
        <v>1</v>
      </c>
      <c r="O15" s="2">
        <v>1</v>
      </c>
      <c r="P15" s="2">
        <v>1</v>
      </c>
      <c r="Q15" s="2">
        <v>1</v>
      </c>
      <c r="R15" s="2">
        <v>1</v>
      </c>
      <c r="S15" s="20">
        <v>1</v>
      </c>
      <c r="T15" s="2">
        <v>1</v>
      </c>
      <c r="U15" s="2">
        <v>1</v>
      </c>
      <c r="V15" s="431">
        <v>1</v>
      </c>
      <c r="W15" s="213">
        <v>46478</v>
      </c>
    </row>
    <row r="16" spans="1:24" x14ac:dyDescent="0.3">
      <c r="A16" s="2" t="s">
        <v>5</v>
      </c>
      <c r="B16" s="509" t="s">
        <v>1017</v>
      </c>
      <c r="C16" s="422" t="s">
        <v>1023</v>
      </c>
      <c r="D16" s="422" t="s">
        <v>788</v>
      </c>
      <c r="E16" s="422" t="s">
        <v>1328</v>
      </c>
      <c r="F16" s="95" t="s">
        <v>1011</v>
      </c>
      <c r="G16" s="423">
        <v>1</v>
      </c>
      <c r="H16" s="20">
        <v>1</v>
      </c>
      <c r="I16" s="20">
        <v>1</v>
      </c>
      <c r="J16" s="20">
        <v>1</v>
      </c>
      <c r="K16" s="449">
        <v>1</v>
      </c>
      <c r="L16" s="2">
        <v>1</v>
      </c>
      <c r="M16" s="2">
        <v>1</v>
      </c>
      <c r="N16" s="431">
        <v>1</v>
      </c>
      <c r="O16" s="2">
        <v>1</v>
      </c>
      <c r="P16" s="2">
        <v>1</v>
      </c>
      <c r="Q16" s="2">
        <v>1</v>
      </c>
      <c r="R16" s="2">
        <v>1</v>
      </c>
      <c r="S16" s="20">
        <v>1</v>
      </c>
      <c r="T16" s="2">
        <v>1</v>
      </c>
      <c r="U16" s="2">
        <v>1</v>
      </c>
      <c r="V16" s="431">
        <v>1</v>
      </c>
      <c r="W16" s="213">
        <v>46508</v>
      </c>
    </row>
    <row r="17" spans="1:23" x14ac:dyDescent="0.3">
      <c r="A17" s="2" t="s">
        <v>5</v>
      </c>
      <c r="B17" s="509" t="s">
        <v>1017</v>
      </c>
      <c r="C17" s="422" t="s">
        <v>1023</v>
      </c>
      <c r="D17" s="422" t="s">
        <v>1226</v>
      </c>
      <c r="E17" s="422" t="s">
        <v>1329</v>
      </c>
      <c r="F17" s="95" t="s">
        <v>959</v>
      </c>
      <c r="G17" s="423">
        <v>1</v>
      </c>
      <c r="H17" s="20">
        <v>1</v>
      </c>
      <c r="I17" s="20">
        <v>1</v>
      </c>
      <c r="J17" s="20">
        <v>1</v>
      </c>
      <c r="K17" s="449">
        <v>1</v>
      </c>
      <c r="L17" s="2">
        <v>1</v>
      </c>
      <c r="M17" s="2">
        <v>1</v>
      </c>
      <c r="N17" s="431">
        <v>1</v>
      </c>
      <c r="O17" s="2">
        <v>1</v>
      </c>
      <c r="P17" s="2">
        <v>1</v>
      </c>
      <c r="Q17" s="2">
        <v>1</v>
      </c>
      <c r="R17" s="2">
        <v>1</v>
      </c>
      <c r="S17" s="20">
        <v>1</v>
      </c>
      <c r="T17" s="2">
        <v>1</v>
      </c>
      <c r="U17" s="2">
        <v>1</v>
      </c>
      <c r="V17" s="431">
        <v>1</v>
      </c>
      <c r="W17" s="213">
        <v>46539</v>
      </c>
    </row>
    <row r="18" spans="1:23" x14ac:dyDescent="0.3">
      <c r="A18" s="2" t="s">
        <v>5</v>
      </c>
      <c r="B18" s="509" t="s">
        <v>1017</v>
      </c>
      <c r="C18" s="422" t="s">
        <v>1023</v>
      </c>
      <c r="D18" s="422" t="s">
        <v>1227</v>
      </c>
      <c r="E18" s="422" t="s">
        <v>1330</v>
      </c>
      <c r="F18" s="95" t="s">
        <v>1012</v>
      </c>
      <c r="G18" s="423">
        <v>1</v>
      </c>
      <c r="H18" s="20">
        <v>1</v>
      </c>
      <c r="I18" s="20">
        <v>1</v>
      </c>
      <c r="J18" s="20">
        <v>1</v>
      </c>
      <c r="K18" s="449">
        <v>1</v>
      </c>
      <c r="L18" s="2">
        <v>1</v>
      </c>
      <c r="M18" s="2">
        <v>1</v>
      </c>
      <c r="N18" s="431">
        <v>1</v>
      </c>
      <c r="O18" s="2">
        <v>1</v>
      </c>
      <c r="P18" s="2">
        <v>1</v>
      </c>
      <c r="Q18" s="2">
        <v>1</v>
      </c>
      <c r="R18" s="2">
        <v>1</v>
      </c>
      <c r="S18" s="20">
        <v>1</v>
      </c>
      <c r="T18" s="2">
        <v>1</v>
      </c>
      <c r="U18" s="2">
        <v>1</v>
      </c>
      <c r="V18" s="431">
        <v>1</v>
      </c>
      <c r="W18" s="213">
        <v>46569</v>
      </c>
    </row>
    <row r="19" spans="1:23" x14ac:dyDescent="0.3">
      <c r="A19" s="2" t="s">
        <v>5</v>
      </c>
      <c r="B19" s="509" t="s">
        <v>1017</v>
      </c>
      <c r="C19" s="422" t="s">
        <v>1026</v>
      </c>
      <c r="D19" s="422" t="s">
        <v>1537</v>
      </c>
      <c r="E19" s="422" t="s">
        <v>1538</v>
      </c>
      <c r="F19" s="95" t="s">
        <v>557</v>
      </c>
      <c r="G19" s="423">
        <v>1</v>
      </c>
      <c r="H19" s="20">
        <v>1</v>
      </c>
      <c r="I19" s="20">
        <v>1</v>
      </c>
      <c r="J19" s="20">
        <v>1</v>
      </c>
      <c r="K19" s="449">
        <v>1</v>
      </c>
      <c r="L19" s="2">
        <v>1</v>
      </c>
      <c r="M19" s="2">
        <v>1</v>
      </c>
      <c r="N19" s="431">
        <v>1</v>
      </c>
      <c r="O19" s="2">
        <v>1</v>
      </c>
      <c r="P19" s="2">
        <v>1</v>
      </c>
      <c r="Q19" s="2">
        <v>1</v>
      </c>
      <c r="R19" s="2">
        <v>1</v>
      </c>
      <c r="S19" s="20">
        <v>1</v>
      </c>
      <c r="T19" s="2">
        <v>1</v>
      </c>
      <c r="U19" s="2">
        <v>1</v>
      </c>
      <c r="V19" s="431">
        <v>1</v>
      </c>
      <c r="W19" s="213">
        <v>46600</v>
      </c>
    </row>
    <row r="20" spans="1:23" x14ac:dyDescent="0.3">
      <c r="A20" s="2" t="s">
        <v>5</v>
      </c>
      <c r="B20" s="509" t="s">
        <v>1017</v>
      </c>
      <c r="C20" s="422" t="s">
        <v>1026</v>
      </c>
      <c r="D20" s="422" t="s">
        <v>1536</v>
      </c>
      <c r="E20" s="422" t="s">
        <v>1331</v>
      </c>
      <c r="F20" s="95" t="s">
        <v>557</v>
      </c>
      <c r="G20" s="423">
        <v>1</v>
      </c>
      <c r="H20" s="20">
        <v>1</v>
      </c>
      <c r="I20" s="20">
        <v>1</v>
      </c>
      <c r="J20" s="20">
        <v>1</v>
      </c>
      <c r="K20" s="449">
        <v>1</v>
      </c>
      <c r="L20" s="2">
        <v>1</v>
      </c>
      <c r="M20" s="2">
        <v>1</v>
      </c>
      <c r="N20" s="431">
        <v>1</v>
      </c>
      <c r="O20" s="2">
        <v>1</v>
      </c>
      <c r="P20" s="2">
        <v>1</v>
      </c>
      <c r="Q20" s="2">
        <v>1</v>
      </c>
      <c r="R20" s="2">
        <v>1</v>
      </c>
      <c r="S20" s="20">
        <v>1</v>
      </c>
      <c r="T20" s="2">
        <v>1</v>
      </c>
      <c r="U20" s="2">
        <v>1</v>
      </c>
      <c r="V20" s="431">
        <v>1</v>
      </c>
      <c r="W20" s="213">
        <v>46631</v>
      </c>
    </row>
    <row r="21" spans="1:23" x14ac:dyDescent="0.3">
      <c r="A21" s="2" t="s">
        <v>5</v>
      </c>
      <c r="B21" s="509" t="s">
        <v>1017</v>
      </c>
      <c r="C21" s="422" t="s">
        <v>1026</v>
      </c>
      <c r="D21" s="422" t="s">
        <v>1535</v>
      </c>
      <c r="E21" s="424" t="s">
        <v>1332</v>
      </c>
      <c r="F21" s="95" t="s">
        <v>557</v>
      </c>
      <c r="G21" s="423">
        <v>1</v>
      </c>
      <c r="H21" s="20">
        <v>1</v>
      </c>
      <c r="I21" s="20">
        <v>1</v>
      </c>
      <c r="J21" s="20">
        <v>1</v>
      </c>
      <c r="K21" s="449">
        <v>1</v>
      </c>
      <c r="L21" s="2">
        <v>1</v>
      </c>
      <c r="M21" s="2">
        <v>1</v>
      </c>
      <c r="N21" s="431">
        <v>1</v>
      </c>
      <c r="O21" s="2">
        <v>1</v>
      </c>
      <c r="P21" s="2">
        <v>1</v>
      </c>
      <c r="Q21" s="2">
        <v>1</v>
      </c>
      <c r="R21" s="2">
        <v>1</v>
      </c>
      <c r="S21" s="20">
        <v>1</v>
      </c>
      <c r="T21" s="2">
        <v>1</v>
      </c>
      <c r="U21" s="2">
        <v>1</v>
      </c>
      <c r="V21" s="431">
        <v>1</v>
      </c>
      <c r="W21" s="213">
        <v>46661</v>
      </c>
    </row>
    <row r="22" spans="1:23" x14ac:dyDescent="0.3">
      <c r="A22" s="2" t="s">
        <v>5</v>
      </c>
      <c r="B22" s="509" t="s">
        <v>1017</v>
      </c>
      <c r="C22" s="422" t="s">
        <v>1026</v>
      </c>
      <c r="D22" s="422" t="s">
        <v>485</v>
      </c>
      <c r="E22" s="424" t="s">
        <v>1538</v>
      </c>
      <c r="F22" s="95" t="s">
        <v>557</v>
      </c>
      <c r="G22" s="423">
        <v>1</v>
      </c>
      <c r="H22" s="20">
        <v>1</v>
      </c>
      <c r="I22" s="20">
        <v>1</v>
      </c>
      <c r="J22" s="20">
        <v>1</v>
      </c>
      <c r="K22" s="449">
        <v>1</v>
      </c>
      <c r="L22" s="2">
        <v>1</v>
      </c>
      <c r="M22" s="2">
        <v>1</v>
      </c>
      <c r="N22" s="431">
        <v>1</v>
      </c>
      <c r="O22" s="2">
        <v>1</v>
      </c>
      <c r="P22" s="2">
        <v>1</v>
      </c>
      <c r="Q22" s="2">
        <v>1</v>
      </c>
      <c r="R22" s="2">
        <v>1</v>
      </c>
      <c r="S22" s="20">
        <v>1</v>
      </c>
      <c r="T22" s="2">
        <v>1</v>
      </c>
      <c r="U22" s="2">
        <v>1</v>
      </c>
      <c r="V22" s="431">
        <v>1</v>
      </c>
      <c r="W22" s="213">
        <v>46692</v>
      </c>
    </row>
    <row r="23" spans="1:23" x14ac:dyDescent="0.3">
      <c r="A23" s="2" t="s">
        <v>5</v>
      </c>
      <c r="B23" s="509" t="s">
        <v>1017</v>
      </c>
      <c r="C23" s="422" t="s">
        <v>1026</v>
      </c>
      <c r="D23" s="422" t="s">
        <v>1450</v>
      </c>
      <c r="E23" s="424" t="s">
        <v>1333</v>
      </c>
      <c r="F23" s="95" t="s">
        <v>557</v>
      </c>
      <c r="G23" s="423">
        <v>1</v>
      </c>
      <c r="H23" s="20">
        <v>1</v>
      </c>
      <c r="I23" s="20">
        <v>1</v>
      </c>
      <c r="J23" s="20">
        <v>1</v>
      </c>
      <c r="K23" s="449">
        <v>1</v>
      </c>
      <c r="L23" s="2">
        <v>1</v>
      </c>
      <c r="M23" s="2">
        <v>1</v>
      </c>
      <c r="N23" s="431">
        <v>1</v>
      </c>
      <c r="O23" s="2">
        <v>1</v>
      </c>
      <c r="P23" s="2">
        <v>1</v>
      </c>
      <c r="Q23" s="2">
        <v>1</v>
      </c>
      <c r="R23" s="2">
        <v>1</v>
      </c>
      <c r="S23" s="20">
        <v>1</v>
      </c>
      <c r="T23" s="2">
        <v>1</v>
      </c>
      <c r="U23" s="2">
        <v>1</v>
      </c>
      <c r="V23" s="431">
        <v>1</v>
      </c>
      <c r="W23" s="213">
        <v>46722</v>
      </c>
    </row>
    <row r="24" spans="1:23" x14ac:dyDescent="0.3">
      <c r="A24" s="2" t="s">
        <v>5</v>
      </c>
      <c r="B24" s="509" t="s">
        <v>1017</v>
      </c>
      <c r="C24" s="422" t="s">
        <v>1026</v>
      </c>
      <c r="D24" s="422" t="s">
        <v>1229</v>
      </c>
      <c r="E24" s="424" t="s">
        <v>1334</v>
      </c>
      <c r="F24" s="95" t="s">
        <v>557</v>
      </c>
      <c r="G24" s="423">
        <v>1</v>
      </c>
      <c r="H24" s="20">
        <v>1</v>
      </c>
      <c r="I24" s="20">
        <v>1</v>
      </c>
      <c r="J24" s="20">
        <v>1</v>
      </c>
      <c r="K24" s="449">
        <v>1</v>
      </c>
      <c r="L24" s="2">
        <v>1</v>
      </c>
      <c r="M24" s="2">
        <v>1</v>
      </c>
      <c r="N24" s="431">
        <v>1</v>
      </c>
      <c r="O24" s="2">
        <v>1</v>
      </c>
      <c r="P24" s="2">
        <v>1</v>
      </c>
      <c r="Q24" s="2">
        <v>1</v>
      </c>
      <c r="R24" s="2">
        <v>1</v>
      </c>
      <c r="S24" s="20">
        <v>1</v>
      </c>
      <c r="T24" s="2">
        <v>1</v>
      </c>
      <c r="U24" s="2">
        <v>1</v>
      </c>
      <c r="V24" s="431">
        <v>1</v>
      </c>
      <c r="W24" s="213">
        <v>46753</v>
      </c>
    </row>
    <row r="25" spans="1:23" x14ac:dyDescent="0.3">
      <c r="A25" s="2" t="s">
        <v>5</v>
      </c>
      <c r="B25" s="509" t="s">
        <v>1017</v>
      </c>
      <c r="C25" s="422" t="s">
        <v>1026</v>
      </c>
      <c r="D25" s="422" t="s">
        <v>1533</v>
      </c>
      <c r="E25" s="424" t="s">
        <v>1534</v>
      </c>
      <c r="F25" s="95" t="s">
        <v>557</v>
      </c>
      <c r="G25" s="423">
        <v>1</v>
      </c>
      <c r="H25" s="20">
        <v>1</v>
      </c>
      <c r="I25" s="20">
        <v>1</v>
      </c>
      <c r="J25" s="20">
        <v>1</v>
      </c>
      <c r="K25" s="449">
        <v>1</v>
      </c>
      <c r="L25" s="2">
        <v>1</v>
      </c>
      <c r="M25" s="2">
        <v>1</v>
      </c>
      <c r="N25" s="431">
        <v>1</v>
      </c>
      <c r="O25" s="2">
        <v>1</v>
      </c>
      <c r="P25" s="2">
        <v>1</v>
      </c>
      <c r="Q25" s="2">
        <v>1</v>
      </c>
      <c r="R25" s="2">
        <v>1</v>
      </c>
      <c r="S25" s="20">
        <v>1</v>
      </c>
      <c r="T25" s="2">
        <v>1</v>
      </c>
      <c r="U25" s="2">
        <v>1</v>
      </c>
      <c r="V25" s="431">
        <v>1</v>
      </c>
      <c r="W25" s="213">
        <v>46784</v>
      </c>
    </row>
    <row r="26" spans="1:23" ht="12.65" customHeight="1" x14ac:dyDescent="0.3">
      <c r="A26" s="2" t="s">
        <v>5</v>
      </c>
      <c r="B26" s="509" t="s">
        <v>1017</v>
      </c>
      <c r="C26" s="422" t="s">
        <v>1026</v>
      </c>
      <c r="D26" s="422" t="s">
        <v>1230</v>
      </c>
      <c r="E26" s="422" t="s">
        <v>1335</v>
      </c>
      <c r="F26" s="95" t="s">
        <v>557</v>
      </c>
      <c r="G26" s="423">
        <v>1</v>
      </c>
      <c r="H26" s="20">
        <v>1</v>
      </c>
      <c r="I26" s="20">
        <v>1</v>
      </c>
      <c r="J26" s="20">
        <v>1</v>
      </c>
      <c r="K26" s="449">
        <v>1</v>
      </c>
      <c r="L26" s="2">
        <v>1</v>
      </c>
      <c r="M26" s="2">
        <v>1</v>
      </c>
      <c r="N26" s="431">
        <v>1</v>
      </c>
      <c r="O26" s="2">
        <v>1</v>
      </c>
      <c r="P26" s="2">
        <v>1</v>
      </c>
      <c r="Q26" s="2">
        <v>1</v>
      </c>
      <c r="R26" s="2">
        <v>1</v>
      </c>
      <c r="S26" s="20">
        <v>1</v>
      </c>
      <c r="T26" s="2">
        <v>1</v>
      </c>
      <c r="U26" s="2">
        <v>1</v>
      </c>
      <c r="V26" s="431">
        <v>1</v>
      </c>
      <c r="W26" s="213">
        <v>46813</v>
      </c>
    </row>
    <row r="27" spans="1:23" x14ac:dyDescent="0.3">
      <c r="A27" s="2" t="s">
        <v>5</v>
      </c>
      <c r="B27" s="422" t="s">
        <v>1017</v>
      </c>
      <c r="C27" s="422" t="s">
        <v>1026</v>
      </c>
      <c r="D27" s="422" t="s">
        <v>1456</v>
      </c>
      <c r="E27" s="422" t="s">
        <v>1365</v>
      </c>
      <c r="F27" s="95" t="s">
        <v>557</v>
      </c>
      <c r="G27" s="423">
        <v>4</v>
      </c>
      <c r="L27" s="2">
        <v>4</v>
      </c>
      <c r="N27" s="20"/>
      <c r="V27" s="2"/>
      <c r="W27" s="213">
        <v>46844</v>
      </c>
    </row>
    <row r="28" spans="1:23" x14ac:dyDescent="0.3">
      <c r="A28" s="2" t="s">
        <v>5</v>
      </c>
      <c r="B28" s="424" t="s">
        <v>1073</v>
      </c>
      <c r="C28" s="424" t="s">
        <v>1027</v>
      </c>
      <c r="D28" s="424" t="s">
        <v>1231</v>
      </c>
      <c r="E28" s="424" t="s">
        <v>1367</v>
      </c>
      <c r="F28" s="95" t="s">
        <v>557</v>
      </c>
      <c r="G28" s="423">
        <v>4</v>
      </c>
      <c r="N28" s="20"/>
      <c r="T28" s="2">
        <v>4</v>
      </c>
      <c r="V28" s="2"/>
      <c r="W28" s="213">
        <v>46874</v>
      </c>
    </row>
    <row r="29" spans="1:23" x14ac:dyDescent="0.3">
      <c r="A29" s="2" t="s">
        <v>5</v>
      </c>
      <c r="B29" s="424" t="s">
        <v>1073</v>
      </c>
      <c r="C29" s="424" t="s">
        <v>1028</v>
      </c>
      <c r="D29" s="424" t="s">
        <v>1232</v>
      </c>
      <c r="E29" s="424" t="s">
        <v>1367</v>
      </c>
      <c r="F29" s="95" t="s">
        <v>557</v>
      </c>
      <c r="G29" s="423">
        <v>4</v>
      </c>
      <c r="N29" s="20"/>
      <c r="V29" s="2"/>
      <c r="W29" s="213">
        <v>46905</v>
      </c>
    </row>
    <row r="30" spans="1:23" x14ac:dyDescent="0.3">
      <c r="A30" s="2" t="s">
        <v>5</v>
      </c>
      <c r="B30" s="424" t="s">
        <v>1073</v>
      </c>
      <c r="C30" s="424" t="s">
        <v>1029</v>
      </c>
      <c r="D30" s="424" t="s">
        <v>1233</v>
      </c>
      <c r="E30" s="424" t="s">
        <v>1367</v>
      </c>
      <c r="F30" s="95" t="s">
        <v>557</v>
      </c>
      <c r="G30" s="423">
        <v>4</v>
      </c>
      <c r="N30" s="20"/>
      <c r="V30" s="2"/>
      <c r="W30" s="213">
        <v>46935</v>
      </c>
    </row>
    <row r="31" spans="1:23" x14ac:dyDescent="0.3">
      <c r="A31" s="2" t="s">
        <v>5</v>
      </c>
      <c r="B31" s="424" t="s">
        <v>1073</v>
      </c>
      <c r="C31" s="424" t="s">
        <v>1030</v>
      </c>
      <c r="D31" s="424" t="s">
        <v>1234</v>
      </c>
      <c r="E31" s="424" t="s">
        <v>1367</v>
      </c>
      <c r="F31" s="95" t="s">
        <v>557</v>
      </c>
      <c r="G31" s="423">
        <v>4</v>
      </c>
      <c r="N31" s="20"/>
      <c r="V31" s="2"/>
      <c r="W31" s="213">
        <v>46966</v>
      </c>
    </row>
    <row r="32" spans="1:23" x14ac:dyDescent="0.3">
      <c r="A32" s="2" t="s">
        <v>5</v>
      </c>
      <c r="B32" s="424" t="s">
        <v>1073</v>
      </c>
      <c r="C32" s="424" t="s">
        <v>1031</v>
      </c>
      <c r="D32" s="424" t="s">
        <v>1235</v>
      </c>
      <c r="E32" s="424" t="s">
        <v>1367</v>
      </c>
      <c r="F32" s="95" t="s">
        <v>557</v>
      </c>
      <c r="G32" s="423">
        <v>4</v>
      </c>
      <c r="J32" s="20">
        <v>4</v>
      </c>
      <c r="N32" s="20"/>
      <c r="V32" s="2"/>
      <c r="W32" s="213">
        <v>46997</v>
      </c>
    </row>
    <row r="33" spans="1:23" x14ac:dyDescent="0.3">
      <c r="A33" s="2" t="s">
        <v>5</v>
      </c>
      <c r="B33" s="424" t="s">
        <v>1073</v>
      </c>
      <c r="C33" s="424" t="s">
        <v>1032</v>
      </c>
      <c r="D33" s="424" t="s">
        <v>1236</v>
      </c>
      <c r="E33" s="424" t="s">
        <v>1367</v>
      </c>
      <c r="F33" s="95" t="s">
        <v>557</v>
      </c>
      <c r="G33" s="423">
        <v>4</v>
      </c>
      <c r="N33" s="20"/>
      <c r="P33" s="2">
        <v>4</v>
      </c>
      <c r="V33" s="2"/>
      <c r="W33" s="213">
        <v>47027</v>
      </c>
    </row>
    <row r="34" spans="1:23" x14ac:dyDescent="0.3">
      <c r="A34" s="2" t="s">
        <v>5</v>
      </c>
      <c r="B34" s="424" t="s">
        <v>1073</v>
      </c>
      <c r="C34" s="424" t="s">
        <v>1033</v>
      </c>
      <c r="D34" s="424" t="s">
        <v>1237</v>
      </c>
      <c r="E34" s="424" t="s">
        <v>1367</v>
      </c>
      <c r="F34" s="95" t="s">
        <v>557</v>
      </c>
      <c r="G34" s="423">
        <v>4</v>
      </c>
      <c r="N34" s="20"/>
      <c r="V34" s="2"/>
      <c r="W34" s="213">
        <v>47058</v>
      </c>
    </row>
    <row r="35" spans="1:23" x14ac:dyDescent="0.3">
      <c r="A35" s="2" t="s">
        <v>5</v>
      </c>
      <c r="B35" s="424" t="s">
        <v>1073</v>
      </c>
      <c r="C35" s="424" t="s">
        <v>1034</v>
      </c>
      <c r="D35" s="424" t="s">
        <v>1238</v>
      </c>
      <c r="E35" s="424" t="s">
        <v>1367</v>
      </c>
      <c r="F35" s="95" t="s">
        <v>557</v>
      </c>
      <c r="G35" s="423">
        <v>4</v>
      </c>
      <c r="I35" s="20">
        <v>4</v>
      </c>
      <c r="N35" s="20"/>
      <c r="Q35" s="2">
        <v>4</v>
      </c>
      <c r="V35" s="2"/>
      <c r="W35" s="213">
        <v>47088</v>
      </c>
    </row>
    <row r="36" spans="1:23" x14ac:dyDescent="0.3">
      <c r="A36" s="2" t="s">
        <v>5</v>
      </c>
      <c r="B36" s="424" t="s">
        <v>1073</v>
      </c>
      <c r="C36" s="424" t="s">
        <v>1035</v>
      </c>
      <c r="D36" s="424" t="s">
        <v>1239</v>
      </c>
      <c r="E36" s="424" t="s">
        <v>1367</v>
      </c>
      <c r="F36" s="95" t="s">
        <v>557</v>
      </c>
      <c r="G36" s="423">
        <v>4</v>
      </c>
      <c r="N36" s="20"/>
      <c r="Q36" s="2">
        <v>4</v>
      </c>
      <c r="V36" s="2"/>
      <c r="W36" s="213">
        <v>47119</v>
      </c>
    </row>
    <row r="37" spans="1:23" x14ac:dyDescent="0.3">
      <c r="A37" s="2" t="s">
        <v>5</v>
      </c>
      <c r="B37" s="424" t="s">
        <v>1073</v>
      </c>
      <c r="C37" s="424" t="s">
        <v>1036</v>
      </c>
      <c r="D37" s="424" t="s">
        <v>1240</v>
      </c>
      <c r="E37" s="424" t="s">
        <v>1367</v>
      </c>
      <c r="F37" s="95" t="s">
        <v>557</v>
      </c>
      <c r="G37" s="423">
        <v>4</v>
      </c>
      <c r="K37" s="449">
        <v>4</v>
      </c>
      <c r="N37" s="20"/>
      <c r="V37" s="2"/>
      <c r="W37" s="213">
        <v>47150</v>
      </c>
    </row>
    <row r="38" spans="1:23" x14ac:dyDescent="0.3">
      <c r="A38" s="2" t="s">
        <v>5</v>
      </c>
      <c r="B38" s="424" t="s">
        <v>1073</v>
      </c>
      <c r="C38" s="424" t="s">
        <v>1037</v>
      </c>
      <c r="D38" s="424" t="s">
        <v>1241</v>
      </c>
      <c r="E38" s="424" t="s">
        <v>1367</v>
      </c>
      <c r="F38" s="95" t="s">
        <v>557</v>
      </c>
      <c r="G38" s="423">
        <v>4</v>
      </c>
      <c r="I38" s="20">
        <v>4</v>
      </c>
      <c r="N38" s="20"/>
      <c r="T38" s="2">
        <v>4</v>
      </c>
      <c r="V38" s="2"/>
    </row>
    <row r="39" spans="1:23" x14ac:dyDescent="0.3">
      <c r="A39" s="2" t="s">
        <v>5</v>
      </c>
      <c r="B39" s="510" t="s">
        <v>1073</v>
      </c>
      <c r="C39" s="424" t="s">
        <v>1038</v>
      </c>
      <c r="D39" s="424" t="s">
        <v>1242</v>
      </c>
      <c r="E39" s="424" t="s">
        <v>1367</v>
      </c>
      <c r="F39" s="95" t="s">
        <v>557</v>
      </c>
      <c r="G39" s="423">
        <v>4</v>
      </c>
      <c r="N39" s="20"/>
      <c r="U39" s="2">
        <v>4</v>
      </c>
      <c r="V39" s="2"/>
    </row>
    <row r="40" spans="1:23" x14ac:dyDescent="0.3">
      <c r="A40" s="2" t="s">
        <v>5</v>
      </c>
      <c r="B40" s="424" t="s">
        <v>1073</v>
      </c>
      <c r="C40" s="424" t="s">
        <v>1039</v>
      </c>
      <c r="D40" s="424" t="s">
        <v>1243</v>
      </c>
      <c r="E40" s="424" t="s">
        <v>1367</v>
      </c>
      <c r="F40" s="95" t="s">
        <v>557</v>
      </c>
      <c r="G40" s="423">
        <v>4</v>
      </c>
      <c r="N40" s="20"/>
      <c r="V40" s="2"/>
    </row>
    <row r="41" spans="1:23" x14ac:dyDescent="0.3">
      <c r="A41" s="2" t="s">
        <v>5</v>
      </c>
      <c r="B41" s="424" t="s">
        <v>1073</v>
      </c>
      <c r="C41" s="424" t="s">
        <v>1040</v>
      </c>
      <c r="D41" s="424" t="s">
        <v>1244</v>
      </c>
      <c r="E41" s="424" t="s">
        <v>1367</v>
      </c>
      <c r="F41" s="95" t="s">
        <v>557</v>
      </c>
      <c r="G41" s="423">
        <v>4</v>
      </c>
      <c r="N41" s="20"/>
      <c r="Q41" s="2">
        <v>4</v>
      </c>
      <c r="V41" s="2"/>
    </row>
    <row r="42" spans="1:23" x14ac:dyDescent="0.3">
      <c r="A42" s="2" t="s">
        <v>5</v>
      </c>
      <c r="B42" s="424" t="s">
        <v>1073</v>
      </c>
      <c r="C42" s="424" t="s">
        <v>1041</v>
      </c>
      <c r="D42" s="424" t="s">
        <v>1245</v>
      </c>
      <c r="E42" s="424" t="s">
        <v>1367</v>
      </c>
      <c r="F42" s="95" t="s">
        <v>557</v>
      </c>
      <c r="G42" s="423">
        <v>4</v>
      </c>
      <c r="N42" s="20"/>
      <c r="V42" s="2"/>
    </row>
    <row r="43" spans="1:23" x14ac:dyDescent="0.3">
      <c r="A43" s="2" t="s">
        <v>5</v>
      </c>
      <c r="B43" s="424" t="s">
        <v>1073</v>
      </c>
      <c r="C43" s="424" t="s">
        <v>1042</v>
      </c>
      <c r="D43" s="424" t="s">
        <v>1246</v>
      </c>
      <c r="E43" s="424" t="s">
        <v>1367</v>
      </c>
      <c r="F43" s="95" t="s">
        <v>557</v>
      </c>
      <c r="G43" s="423">
        <v>4</v>
      </c>
      <c r="N43" s="20"/>
      <c r="P43" s="2">
        <v>4</v>
      </c>
      <c r="V43" s="2"/>
    </row>
    <row r="44" spans="1:23" x14ac:dyDescent="0.3">
      <c r="A44" s="2" t="s">
        <v>5</v>
      </c>
      <c r="B44" s="424" t="s">
        <v>1073</v>
      </c>
      <c r="C44" s="424" t="s">
        <v>1043</v>
      </c>
      <c r="D44" s="424" t="s">
        <v>1247</v>
      </c>
      <c r="E44" s="424" t="s">
        <v>1367</v>
      </c>
      <c r="F44" s="95" t="s">
        <v>557</v>
      </c>
      <c r="G44" s="423">
        <v>4</v>
      </c>
      <c r="N44" s="20"/>
      <c r="V44" s="2"/>
    </row>
    <row r="45" spans="1:23" x14ac:dyDescent="0.3">
      <c r="A45" s="2" t="s">
        <v>5</v>
      </c>
      <c r="B45" s="424" t="s">
        <v>1073</v>
      </c>
      <c r="C45" s="424" t="s">
        <v>1044</v>
      </c>
      <c r="D45" s="424" t="s">
        <v>1248</v>
      </c>
      <c r="E45" s="424" t="s">
        <v>1367</v>
      </c>
      <c r="F45" s="95" t="s">
        <v>557</v>
      </c>
      <c r="G45" s="423">
        <v>4</v>
      </c>
      <c r="N45" s="20"/>
      <c r="V45" s="2"/>
    </row>
    <row r="46" spans="1:23" x14ac:dyDescent="0.3">
      <c r="A46" s="2" t="s">
        <v>5</v>
      </c>
      <c r="B46" s="424" t="s">
        <v>1073</v>
      </c>
      <c r="C46" s="424" t="s">
        <v>1045</v>
      </c>
      <c r="D46" s="424" t="s">
        <v>1249</v>
      </c>
      <c r="E46" s="424" t="s">
        <v>1367</v>
      </c>
      <c r="F46" s="95" t="s">
        <v>557</v>
      </c>
      <c r="G46" s="423">
        <v>4</v>
      </c>
      <c r="N46" s="20"/>
      <c r="V46" s="2"/>
    </row>
    <row r="47" spans="1:23" x14ac:dyDescent="0.3">
      <c r="A47" s="2" t="s">
        <v>5</v>
      </c>
      <c r="B47" s="424" t="s">
        <v>1073</v>
      </c>
      <c r="C47" s="424" t="s">
        <v>1046</v>
      </c>
      <c r="D47" s="424" t="s">
        <v>1250</v>
      </c>
      <c r="E47" s="424" t="s">
        <v>1367</v>
      </c>
      <c r="F47" s="95" t="s">
        <v>557</v>
      </c>
      <c r="G47" s="423">
        <v>4</v>
      </c>
      <c r="J47" s="20">
        <v>4</v>
      </c>
      <c r="N47" s="20"/>
      <c r="V47" s="2"/>
    </row>
    <row r="48" spans="1:23" x14ac:dyDescent="0.3">
      <c r="A48" s="2" t="s">
        <v>5</v>
      </c>
      <c r="B48" s="424" t="s">
        <v>1073</v>
      </c>
      <c r="C48" s="424" t="s">
        <v>1047</v>
      </c>
      <c r="D48" s="424" t="s">
        <v>1251</v>
      </c>
      <c r="E48" s="424" t="s">
        <v>1367</v>
      </c>
      <c r="F48" s="95" t="s">
        <v>557</v>
      </c>
      <c r="G48" s="423">
        <v>4</v>
      </c>
      <c r="N48" s="20"/>
      <c r="V48" s="2"/>
    </row>
    <row r="49" spans="1:21" s="2" customFormat="1" x14ac:dyDescent="0.3">
      <c r="A49" s="2" t="s">
        <v>5</v>
      </c>
      <c r="B49" s="424" t="s">
        <v>1073</v>
      </c>
      <c r="C49" s="424" t="s">
        <v>1048</v>
      </c>
      <c r="D49" s="424" t="s">
        <v>1252</v>
      </c>
      <c r="E49" s="424" t="s">
        <v>1367</v>
      </c>
      <c r="F49" s="95" t="s">
        <v>557</v>
      </c>
      <c r="G49" s="423">
        <v>4</v>
      </c>
      <c r="H49" s="20"/>
      <c r="I49" s="20"/>
      <c r="J49" s="20"/>
      <c r="N49" s="20"/>
      <c r="P49" s="2">
        <v>4</v>
      </c>
    </row>
    <row r="50" spans="1:21" s="2" customFormat="1" x14ac:dyDescent="0.3">
      <c r="A50" s="2" t="s">
        <v>5</v>
      </c>
      <c r="B50" s="424" t="s">
        <v>1073</v>
      </c>
      <c r="C50" s="424" t="s">
        <v>1049</v>
      </c>
      <c r="D50" s="424" t="s">
        <v>1253</v>
      </c>
      <c r="E50" s="424" t="s">
        <v>1367</v>
      </c>
      <c r="F50" s="95" t="s">
        <v>557</v>
      </c>
      <c r="G50" s="423">
        <v>4</v>
      </c>
      <c r="H50" s="20"/>
      <c r="I50" s="20"/>
      <c r="J50" s="20"/>
      <c r="N50" s="20"/>
      <c r="O50" s="2">
        <v>4</v>
      </c>
    </row>
    <row r="51" spans="1:21" s="2" customFormat="1" x14ac:dyDescent="0.3">
      <c r="A51" s="2" t="s">
        <v>5</v>
      </c>
      <c r="B51" s="424" t="s">
        <v>1073</v>
      </c>
      <c r="C51" s="424" t="s">
        <v>1050</v>
      </c>
      <c r="D51" s="424" t="s">
        <v>1254</v>
      </c>
      <c r="E51" s="424" t="s">
        <v>1367</v>
      </c>
      <c r="F51" s="95" t="s">
        <v>557</v>
      </c>
      <c r="G51" s="423">
        <v>4</v>
      </c>
      <c r="H51" s="20"/>
      <c r="I51" s="20"/>
      <c r="J51" s="20"/>
      <c r="N51" s="20"/>
    </row>
    <row r="52" spans="1:21" s="2" customFormat="1" x14ac:dyDescent="0.3">
      <c r="A52" s="2" t="s">
        <v>5</v>
      </c>
      <c r="B52" s="424" t="s">
        <v>1073</v>
      </c>
      <c r="C52" s="424" t="s">
        <v>1051</v>
      </c>
      <c r="D52" s="424" t="s">
        <v>1255</v>
      </c>
      <c r="E52" s="424" t="s">
        <v>1367</v>
      </c>
      <c r="F52" s="95" t="s">
        <v>557</v>
      </c>
      <c r="G52" s="423">
        <v>4</v>
      </c>
      <c r="H52" s="20"/>
      <c r="I52" s="20"/>
      <c r="J52" s="20"/>
      <c r="N52" s="20"/>
    </row>
    <row r="53" spans="1:21" s="2" customFormat="1" x14ac:dyDescent="0.3">
      <c r="A53" s="2" t="s">
        <v>5</v>
      </c>
      <c r="B53" s="424" t="s">
        <v>1073</v>
      </c>
      <c r="C53" s="424" t="s">
        <v>1052</v>
      </c>
      <c r="D53" s="424" t="s">
        <v>1256</v>
      </c>
      <c r="E53" s="424" t="s">
        <v>1367</v>
      </c>
      <c r="F53" s="95" t="s">
        <v>557</v>
      </c>
      <c r="G53" s="423">
        <v>4</v>
      </c>
      <c r="H53" s="20"/>
      <c r="I53" s="20"/>
      <c r="J53" s="20">
        <v>4</v>
      </c>
      <c r="N53" s="20"/>
    </row>
    <row r="54" spans="1:21" s="2" customFormat="1" x14ac:dyDescent="0.3">
      <c r="A54" s="2" t="s">
        <v>5</v>
      </c>
      <c r="B54" s="424" t="s">
        <v>1073</v>
      </c>
      <c r="C54" s="424" t="s">
        <v>1053</v>
      </c>
      <c r="D54" s="424" t="s">
        <v>1257</v>
      </c>
      <c r="E54" s="424" t="s">
        <v>1367</v>
      </c>
      <c r="F54" s="95" t="s">
        <v>557</v>
      </c>
      <c r="G54" s="423">
        <v>4</v>
      </c>
      <c r="H54" s="20"/>
      <c r="I54" s="20"/>
      <c r="J54" s="20"/>
      <c r="N54" s="20"/>
      <c r="Q54" s="2">
        <v>4</v>
      </c>
    </row>
    <row r="55" spans="1:21" s="2" customFormat="1" x14ac:dyDescent="0.3">
      <c r="A55" s="2" t="s">
        <v>5</v>
      </c>
      <c r="B55" s="424" t="s">
        <v>1073</v>
      </c>
      <c r="C55" s="424" t="s">
        <v>1054</v>
      </c>
      <c r="D55" s="424" t="s">
        <v>1258</v>
      </c>
      <c r="E55" s="424" t="s">
        <v>1367</v>
      </c>
      <c r="F55" s="95" t="s">
        <v>557</v>
      </c>
      <c r="G55" s="423">
        <v>4</v>
      </c>
      <c r="H55" s="20"/>
      <c r="I55" s="20">
        <v>4</v>
      </c>
      <c r="J55" s="20"/>
      <c r="N55" s="20"/>
    </row>
    <row r="56" spans="1:21" s="2" customFormat="1" x14ac:dyDescent="0.3">
      <c r="A56" s="2" t="s">
        <v>5</v>
      </c>
      <c r="B56" s="510" t="s">
        <v>1073</v>
      </c>
      <c r="C56" s="424" t="s">
        <v>1055</v>
      </c>
      <c r="D56" s="424" t="s">
        <v>1259</v>
      </c>
      <c r="E56" s="424" t="s">
        <v>1367</v>
      </c>
      <c r="F56" s="95" t="s">
        <v>557</v>
      </c>
      <c r="G56" s="423">
        <v>4</v>
      </c>
      <c r="H56" s="20"/>
      <c r="I56" s="20"/>
      <c r="J56" s="20"/>
      <c r="N56" s="20"/>
      <c r="U56" s="2">
        <v>4</v>
      </c>
    </row>
    <row r="57" spans="1:21" s="2" customFormat="1" x14ac:dyDescent="0.3">
      <c r="A57" s="2" t="s">
        <v>5</v>
      </c>
      <c r="B57" s="424" t="s">
        <v>1073</v>
      </c>
      <c r="C57" s="424" t="s">
        <v>1056</v>
      </c>
      <c r="D57" s="424" t="s">
        <v>1260</v>
      </c>
      <c r="E57" s="424" t="s">
        <v>1367</v>
      </c>
      <c r="F57" s="95" t="s">
        <v>557</v>
      </c>
      <c r="G57" s="423">
        <v>4</v>
      </c>
      <c r="H57" s="20"/>
      <c r="I57" s="20"/>
      <c r="J57" s="20"/>
      <c r="N57" s="20"/>
      <c r="Q57" s="2">
        <v>4</v>
      </c>
    </row>
    <row r="58" spans="1:21" s="2" customFormat="1" x14ac:dyDescent="0.3">
      <c r="A58" s="2" t="s">
        <v>5</v>
      </c>
      <c r="B58" s="510" t="s">
        <v>1073</v>
      </c>
      <c r="C58" s="424" t="s">
        <v>1057</v>
      </c>
      <c r="D58" s="424" t="s">
        <v>1261</v>
      </c>
      <c r="E58" s="424" t="s">
        <v>1367</v>
      </c>
      <c r="F58" s="95" t="s">
        <v>557</v>
      </c>
      <c r="G58" s="423">
        <v>4</v>
      </c>
      <c r="H58" s="20"/>
      <c r="I58" s="20"/>
      <c r="J58" s="20"/>
      <c r="N58" s="20"/>
      <c r="U58" s="2">
        <v>4</v>
      </c>
    </row>
    <row r="59" spans="1:21" s="2" customFormat="1" x14ac:dyDescent="0.3">
      <c r="A59" s="2" t="s">
        <v>5</v>
      </c>
      <c r="B59" s="424" t="s">
        <v>1073</v>
      </c>
      <c r="C59" s="424" t="s">
        <v>1058</v>
      </c>
      <c r="D59" s="424" t="s">
        <v>1262</v>
      </c>
      <c r="E59" s="424" t="s">
        <v>1367</v>
      </c>
      <c r="F59" s="95" t="s">
        <v>557</v>
      </c>
      <c r="G59" s="423">
        <v>4</v>
      </c>
      <c r="H59" s="20"/>
      <c r="I59" s="20"/>
      <c r="J59" s="20"/>
      <c r="M59" s="2">
        <v>4</v>
      </c>
      <c r="N59" s="20"/>
    </row>
    <row r="60" spans="1:21" s="2" customFormat="1" x14ac:dyDescent="0.3">
      <c r="A60" s="2" t="s">
        <v>5</v>
      </c>
      <c r="B60" s="424" t="s">
        <v>1073</v>
      </c>
      <c r="C60" s="424" t="s">
        <v>1059</v>
      </c>
      <c r="D60" s="424" t="s">
        <v>1263</v>
      </c>
      <c r="E60" s="424" t="s">
        <v>1367</v>
      </c>
      <c r="F60" s="95" t="s">
        <v>557</v>
      </c>
      <c r="G60" s="423">
        <v>4</v>
      </c>
      <c r="H60" s="20"/>
      <c r="I60" s="20"/>
      <c r="J60" s="20"/>
      <c r="N60" s="20"/>
    </row>
    <row r="61" spans="1:21" s="2" customFormat="1" x14ac:dyDescent="0.3">
      <c r="A61" s="2" t="s">
        <v>5</v>
      </c>
      <c r="B61" s="424" t="s">
        <v>1073</v>
      </c>
      <c r="C61" s="424" t="s">
        <v>1060</v>
      </c>
      <c r="D61" s="424" t="s">
        <v>1264</v>
      </c>
      <c r="E61" s="424" t="s">
        <v>1367</v>
      </c>
      <c r="F61" s="95" t="s">
        <v>557</v>
      </c>
      <c r="G61" s="423">
        <v>4</v>
      </c>
      <c r="H61" s="20"/>
      <c r="I61" s="20"/>
      <c r="J61" s="20"/>
      <c r="N61" s="20"/>
      <c r="P61" s="2">
        <v>4</v>
      </c>
    </row>
    <row r="62" spans="1:21" s="2" customFormat="1" x14ac:dyDescent="0.3">
      <c r="A62" s="2" t="s">
        <v>5</v>
      </c>
      <c r="B62" s="424" t="s">
        <v>1073</v>
      </c>
      <c r="C62" s="424" t="s">
        <v>1061</v>
      </c>
      <c r="D62" s="424" t="s">
        <v>1265</v>
      </c>
      <c r="E62" s="424" t="s">
        <v>1367</v>
      </c>
      <c r="F62" s="95" t="s">
        <v>557</v>
      </c>
      <c r="G62" s="423">
        <v>4</v>
      </c>
      <c r="H62" s="20"/>
      <c r="I62" s="20"/>
      <c r="J62" s="20"/>
      <c r="N62" s="20"/>
      <c r="T62" s="2">
        <v>4</v>
      </c>
    </row>
    <row r="63" spans="1:21" s="2" customFormat="1" x14ac:dyDescent="0.3">
      <c r="A63" s="2" t="s">
        <v>5</v>
      </c>
      <c r="B63" s="424" t="s">
        <v>1073</v>
      </c>
      <c r="C63" s="424" t="s">
        <v>1062</v>
      </c>
      <c r="D63" s="424" t="s">
        <v>1266</v>
      </c>
      <c r="E63" s="424" t="s">
        <v>1367</v>
      </c>
      <c r="F63" s="95" t="s">
        <v>557</v>
      </c>
      <c r="G63" s="423">
        <v>4</v>
      </c>
      <c r="H63" s="20"/>
      <c r="I63" s="20"/>
      <c r="J63" s="20"/>
      <c r="N63" s="20"/>
    </row>
    <row r="64" spans="1:21" s="2" customFormat="1" x14ac:dyDescent="0.3">
      <c r="A64" s="2" t="s">
        <v>5</v>
      </c>
      <c r="B64" s="424" t="s">
        <v>1073</v>
      </c>
      <c r="C64" s="424" t="s">
        <v>1063</v>
      </c>
      <c r="D64" s="424" t="s">
        <v>1267</v>
      </c>
      <c r="E64" s="424" t="s">
        <v>1367</v>
      </c>
      <c r="F64" s="95" t="s">
        <v>557</v>
      </c>
      <c r="G64" s="423">
        <v>4</v>
      </c>
      <c r="H64" s="20"/>
      <c r="I64" s="20">
        <v>4</v>
      </c>
      <c r="J64" s="20"/>
      <c r="N64" s="20"/>
    </row>
    <row r="65" spans="1:22" x14ac:dyDescent="0.3">
      <c r="A65" s="2" t="s">
        <v>5</v>
      </c>
      <c r="B65" s="424" t="s">
        <v>1073</v>
      </c>
      <c r="C65" s="424" t="s">
        <v>1064</v>
      </c>
      <c r="D65" s="424" t="s">
        <v>1268</v>
      </c>
      <c r="E65" s="424" t="s">
        <v>1367</v>
      </c>
      <c r="F65" s="95" t="s">
        <v>557</v>
      </c>
      <c r="G65" s="423">
        <v>4</v>
      </c>
      <c r="I65" s="20">
        <v>4</v>
      </c>
      <c r="N65" s="20"/>
      <c r="V65" s="2"/>
    </row>
    <row r="66" spans="1:22" x14ac:dyDescent="0.3">
      <c r="A66" s="2" t="s">
        <v>5</v>
      </c>
      <c r="B66" s="424" t="s">
        <v>1073</v>
      </c>
      <c r="C66" s="424" t="s">
        <v>1065</v>
      </c>
      <c r="D66" s="424" t="s">
        <v>1269</v>
      </c>
      <c r="E66" s="424" t="s">
        <v>1367</v>
      </c>
      <c r="F66" s="95" t="s">
        <v>557</v>
      </c>
      <c r="G66" s="423">
        <v>4</v>
      </c>
      <c r="N66" s="20"/>
      <c r="V66" s="2"/>
    </row>
    <row r="67" spans="1:22" x14ac:dyDescent="0.3">
      <c r="A67" s="2" t="s">
        <v>5</v>
      </c>
      <c r="B67" s="424" t="s">
        <v>1073</v>
      </c>
      <c r="C67" s="424" t="s">
        <v>1066</v>
      </c>
      <c r="D67" s="424" t="s">
        <v>1270</v>
      </c>
      <c r="E67" s="424" t="s">
        <v>1367</v>
      </c>
      <c r="F67" s="95" t="s">
        <v>557</v>
      </c>
      <c r="G67" s="423">
        <v>4</v>
      </c>
      <c r="I67" s="20">
        <v>4</v>
      </c>
      <c r="N67" s="20"/>
      <c r="Q67" s="2">
        <v>4</v>
      </c>
      <c r="V67" s="2"/>
    </row>
    <row r="68" spans="1:22" x14ac:dyDescent="0.3">
      <c r="A68" s="2" t="s">
        <v>5</v>
      </c>
      <c r="B68" s="424" t="s">
        <v>1073</v>
      </c>
      <c r="C68" s="424" t="s">
        <v>1067</v>
      </c>
      <c r="D68" s="424" t="s">
        <v>1271</v>
      </c>
      <c r="E68" s="424" t="s">
        <v>1367</v>
      </c>
      <c r="F68" s="95" t="s">
        <v>557</v>
      </c>
      <c r="G68" s="423">
        <v>4</v>
      </c>
      <c r="N68" s="20"/>
      <c r="V68" s="2"/>
    </row>
    <row r="69" spans="1:22" x14ac:dyDescent="0.3">
      <c r="A69" s="2" t="s">
        <v>5</v>
      </c>
      <c r="B69" s="424" t="s">
        <v>1073</v>
      </c>
      <c r="C69" s="424" t="s">
        <v>1068</v>
      </c>
      <c r="D69" s="424" t="s">
        <v>1272</v>
      </c>
      <c r="E69" s="424" t="s">
        <v>1367</v>
      </c>
      <c r="F69" s="95" t="s">
        <v>557</v>
      </c>
      <c r="G69" s="423">
        <v>4</v>
      </c>
      <c r="J69" s="20">
        <v>4</v>
      </c>
      <c r="M69" s="2">
        <v>4</v>
      </c>
      <c r="N69" s="20"/>
      <c r="V69" s="2"/>
    </row>
    <row r="70" spans="1:22" x14ac:dyDescent="0.3">
      <c r="A70" s="2" t="s">
        <v>5</v>
      </c>
      <c r="B70" s="424" t="s">
        <v>1073</v>
      </c>
      <c r="C70" s="424" t="s">
        <v>1069</v>
      </c>
      <c r="D70" s="424" t="s">
        <v>1273</v>
      </c>
      <c r="E70" s="424" t="s">
        <v>1367</v>
      </c>
      <c r="F70" s="95" t="s">
        <v>557</v>
      </c>
      <c r="G70" s="423">
        <v>4</v>
      </c>
      <c r="N70" s="20"/>
      <c r="Q70" s="2">
        <v>4</v>
      </c>
      <c r="V70" s="2"/>
    </row>
    <row r="71" spans="1:22" x14ac:dyDescent="0.3">
      <c r="A71" s="2" t="s">
        <v>5</v>
      </c>
      <c r="B71" s="424" t="s">
        <v>1073</v>
      </c>
      <c r="C71" s="424" t="s">
        <v>1070</v>
      </c>
      <c r="D71" s="424" t="s">
        <v>1274</v>
      </c>
      <c r="E71" s="424" t="s">
        <v>1367</v>
      </c>
      <c r="F71" s="95" t="s">
        <v>557</v>
      </c>
      <c r="G71" s="423">
        <v>4</v>
      </c>
      <c r="N71" s="20"/>
      <c r="Q71" s="2">
        <v>4</v>
      </c>
      <c r="V71" s="2"/>
    </row>
    <row r="72" spans="1:22" x14ac:dyDescent="0.3">
      <c r="A72" s="2" t="s">
        <v>5</v>
      </c>
      <c r="B72" s="424" t="s">
        <v>1073</v>
      </c>
      <c r="C72" s="424" t="s">
        <v>1071</v>
      </c>
      <c r="D72" s="424" t="s">
        <v>1457</v>
      </c>
      <c r="E72" s="424" t="s">
        <v>1367</v>
      </c>
      <c r="F72" s="95" t="s">
        <v>557</v>
      </c>
      <c r="G72" s="423">
        <v>4</v>
      </c>
      <c r="I72" s="20">
        <v>4</v>
      </c>
      <c r="N72" s="20"/>
      <c r="V72" s="2"/>
    </row>
    <row r="73" spans="1:22" x14ac:dyDescent="0.3">
      <c r="A73" s="2" t="s">
        <v>5</v>
      </c>
      <c r="B73" s="424" t="s">
        <v>1073</v>
      </c>
      <c r="C73" s="424" t="s">
        <v>1147</v>
      </c>
      <c r="D73" s="424" t="s">
        <v>1458</v>
      </c>
      <c r="E73" s="424" t="s">
        <v>1367</v>
      </c>
      <c r="F73" s="95" t="s">
        <v>557</v>
      </c>
      <c r="G73" s="423">
        <v>4</v>
      </c>
      <c r="N73" s="20"/>
      <c r="V73" s="2"/>
    </row>
    <row r="74" spans="1:22" x14ac:dyDescent="0.3">
      <c r="A74" s="2" t="s">
        <v>5</v>
      </c>
      <c r="B74" s="424" t="s">
        <v>1073</v>
      </c>
      <c r="C74" s="424" t="s">
        <v>1146</v>
      </c>
      <c r="D74" s="424" t="s">
        <v>1459</v>
      </c>
      <c r="E74" s="424" t="s">
        <v>1367</v>
      </c>
      <c r="F74" s="95" t="s">
        <v>557</v>
      </c>
      <c r="G74" s="423">
        <v>4</v>
      </c>
      <c r="K74" s="449">
        <v>4</v>
      </c>
      <c r="N74" s="20"/>
      <c r="V74" s="2"/>
    </row>
    <row r="75" spans="1:22" x14ac:dyDescent="0.3">
      <c r="A75" s="2" t="s">
        <v>5</v>
      </c>
      <c r="B75" s="424" t="s">
        <v>1073</v>
      </c>
      <c r="C75" s="424" t="s">
        <v>1145</v>
      </c>
      <c r="D75" s="424" t="s">
        <v>1460</v>
      </c>
      <c r="E75" s="424" t="s">
        <v>1367</v>
      </c>
      <c r="F75" s="95" t="s">
        <v>557</v>
      </c>
      <c r="G75" s="423">
        <v>4</v>
      </c>
      <c r="I75" s="20">
        <v>4</v>
      </c>
      <c r="N75" s="20"/>
      <c r="V75" s="2"/>
    </row>
    <row r="76" spans="1:22" x14ac:dyDescent="0.3">
      <c r="A76" s="2" t="s">
        <v>5</v>
      </c>
      <c r="B76" s="424" t="s">
        <v>1073</v>
      </c>
      <c r="C76" s="424" t="s">
        <v>1072</v>
      </c>
      <c r="D76" s="424" t="s">
        <v>1461</v>
      </c>
      <c r="E76" s="424" t="s">
        <v>1367</v>
      </c>
      <c r="F76" s="95" t="s">
        <v>557</v>
      </c>
      <c r="G76" s="423">
        <v>4</v>
      </c>
      <c r="N76" s="20"/>
      <c r="V76" s="2"/>
    </row>
    <row r="77" spans="1:22" ht="12.65" customHeight="1" x14ac:dyDescent="0.3">
      <c r="A77" s="2" t="s">
        <v>5</v>
      </c>
      <c r="B77" s="510" t="s">
        <v>1118</v>
      </c>
      <c r="C77" s="424" t="s">
        <v>1022</v>
      </c>
      <c r="D77" s="424" t="s">
        <v>1275</v>
      </c>
      <c r="E77" s="422" t="s">
        <v>1336</v>
      </c>
      <c r="F77" s="95" t="s">
        <v>557</v>
      </c>
      <c r="G77" s="423">
        <v>1</v>
      </c>
      <c r="H77" s="20">
        <v>1</v>
      </c>
      <c r="I77" s="20">
        <v>1</v>
      </c>
      <c r="J77" s="20">
        <v>1</v>
      </c>
      <c r="K77" s="449">
        <v>1</v>
      </c>
      <c r="M77" s="2">
        <v>1</v>
      </c>
      <c r="N77" s="431">
        <v>1</v>
      </c>
      <c r="O77" s="2">
        <v>1</v>
      </c>
      <c r="P77" s="2">
        <v>1</v>
      </c>
      <c r="Q77" s="2">
        <v>1</v>
      </c>
      <c r="R77" s="2">
        <v>1</v>
      </c>
      <c r="S77" s="20">
        <v>1</v>
      </c>
      <c r="T77" s="2">
        <v>1</v>
      </c>
      <c r="U77" s="2">
        <v>1</v>
      </c>
      <c r="V77" s="431">
        <v>1</v>
      </c>
    </row>
    <row r="78" spans="1:22" x14ac:dyDescent="0.3">
      <c r="A78" s="2" t="s">
        <v>5</v>
      </c>
      <c r="B78" s="424" t="s">
        <v>1118</v>
      </c>
      <c r="C78" s="424" t="s">
        <v>1022</v>
      </c>
      <c r="D78" s="424" t="s">
        <v>1275</v>
      </c>
      <c r="E78" s="422" t="s">
        <v>1359</v>
      </c>
      <c r="F78" s="95" t="s">
        <v>557</v>
      </c>
      <c r="G78" s="423">
        <v>3</v>
      </c>
      <c r="H78" s="2">
        <v>3</v>
      </c>
      <c r="I78" s="2"/>
      <c r="N78" s="431">
        <v>3</v>
      </c>
      <c r="V78" s="2"/>
    </row>
    <row r="79" spans="1:22" x14ac:dyDescent="0.3">
      <c r="A79" s="2" t="s">
        <v>5</v>
      </c>
      <c r="B79" s="424" t="s">
        <v>1118</v>
      </c>
      <c r="C79" s="424" t="s">
        <v>1022</v>
      </c>
      <c r="D79" s="424" t="s">
        <v>1275</v>
      </c>
      <c r="E79" s="422" t="s">
        <v>1363</v>
      </c>
      <c r="F79" s="95" t="s">
        <v>557</v>
      </c>
      <c r="G79" s="423">
        <v>3</v>
      </c>
      <c r="H79" s="2">
        <v>3</v>
      </c>
      <c r="I79" s="2"/>
      <c r="N79" s="431">
        <v>3</v>
      </c>
      <c r="V79" s="2"/>
    </row>
    <row r="80" spans="1:22" ht="15.75" customHeight="1" x14ac:dyDescent="0.3">
      <c r="A80" s="2" t="s">
        <v>5</v>
      </c>
      <c r="B80" s="424" t="s">
        <v>1118</v>
      </c>
      <c r="C80" s="424" t="s">
        <v>1022</v>
      </c>
      <c r="D80" s="424" t="s">
        <v>1275</v>
      </c>
      <c r="E80" s="422" t="s">
        <v>1364</v>
      </c>
      <c r="F80" s="95" t="s">
        <v>557</v>
      </c>
      <c r="G80" s="423">
        <v>3</v>
      </c>
      <c r="H80" s="2">
        <v>3</v>
      </c>
      <c r="I80" s="2"/>
      <c r="P80" s="2">
        <v>3</v>
      </c>
      <c r="V80" s="2"/>
    </row>
    <row r="81" spans="1:22" x14ac:dyDescent="0.3">
      <c r="A81" s="2" t="s">
        <v>5</v>
      </c>
      <c r="B81" s="424" t="s">
        <v>1118</v>
      </c>
      <c r="C81" s="424" t="s">
        <v>1022</v>
      </c>
      <c r="D81" s="424" t="s">
        <v>1275</v>
      </c>
      <c r="E81" s="422" t="s">
        <v>1358</v>
      </c>
      <c r="F81" s="95" t="s">
        <v>557</v>
      </c>
      <c r="G81" s="423">
        <v>2</v>
      </c>
      <c r="H81" s="2"/>
      <c r="I81" s="2"/>
      <c r="J81" s="20">
        <v>2</v>
      </c>
      <c r="M81" s="2">
        <v>2</v>
      </c>
      <c r="N81" s="2"/>
      <c r="P81" s="2">
        <v>2</v>
      </c>
      <c r="V81" s="20">
        <v>2</v>
      </c>
    </row>
    <row r="82" spans="1:22" x14ac:dyDescent="0.3">
      <c r="A82" s="2" t="s">
        <v>5</v>
      </c>
      <c r="B82" s="424" t="s">
        <v>1118</v>
      </c>
      <c r="C82" s="424" t="s">
        <v>1074</v>
      </c>
      <c r="D82" s="424" t="s">
        <v>1276</v>
      </c>
      <c r="E82" s="424" t="s">
        <v>1367</v>
      </c>
      <c r="F82" s="95" t="s">
        <v>557</v>
      </c>
      <c r="G82" s="423">
        <v>4</v>
      </c>
      <c r="N82" s="20">
        <v>4</v>
      </c>
      <c r="V82" s="2"/>
    </row>
    <row r="83" spans="1:22" x14ac:dyDescent="0.3">
      <c r="A83" s="2" t="s">
        <v>5</v>
      </c>
      <c r="B83" s="424" t="s">
        <v>1118</v>
      </c>
      <c r="C83" s="424" t="s">
        <v>1075</v>
      </c>
      <c r="D83" s="424" t="s">
        <v>1277</v>
      </c>
      <c r="E83" s="424" t="s">
        <v>1367</v>
      </c>
      <c r="F83" s="95" t="s">
        <v>557</v>
      </c>
      <c r="G83" s="423">
        <v>4</v>
      </c>
      <c r="N83" s="20"/>
      <c r="V83" s="2"/>
    </row>
    <row r="84" spans="1:22" x14ac:dyDescent="0.3">
      <c r="A84" s="2" t="s">
        <v>5</v>
      </c>
      <c r="B84" s="424" t="s">
        <v>1118</v>
      </c>
      <c r="C84" s="424" t="s">
        <v>1076</v>
      </c>
      <c r="D84" s="424" t="s">
        <v>1278</v>
      </c>
      <c r="E84" s="424" t="s">
        <v>1367</v>
      </c>
      <c r="F84" s="95" t="s">
        <v>557</v>
      </c>
      <c r="G84" s="423">
        <v>4</v>
      </c>
      <c r="L84" s="2">
        <v>4</v>
      </c>
      <c r="N84" s="20"/>
      <c r="V84" s="2"/>
    </row>
    <row r="85" spans="1:22" x14ac:dyDescent="0.3">
      <c r="A85" s="2" t="s">
        <v>5</v>
      </c>
      <c r="B85" s="424" t="s">
        <v>1118</v>
      </c>
      <c r="C85" s="424" t="s">
        <v>1077</v>
      </c>
      <c r="D85" s="424" t="s">
        <v>1279</v>
      </c>
      <c r="E85" s="424" t="s">
        <v>1367</v>
      </c>
      <c r="F85" s="95" t="s">
        <v>557</v>
      </c>
      <c r="G85" s="423">
        <v>4</v>
      </c>
      <c r="K85" s="449">
        <v>4</v>
      </c>
      <c r="N85" s="20"/>
      <c r="Q85" s="2">
        <v>4</v>
      </c>
      <c r="V85" s="2"/>
    </row>
    <row r="86" spans="1:22" x14ac:dyDescent="0.3">
      <c r="A86" s="2" t="s">
        <v>5</v>
      </c>
      <c r="B86" s="424" t="s">
        <v>1118</v>
      </c>
      <c r="C86" s="424" t="s">
        <v>1078</v>
      </c>
      <c r="D86" s="424" t="s">
        <v>1280</v>
      </c>
      <c r="E86" s="424" t="s">
        <v>1367</v>
      </c>
      <c r="F86" s="95" t="s">
        <v>557</v>
      </c>
      <c r="G86" s="423">
        <v>4</v>
      </c>
      <c r="N86" s="20"/>
      <c r="T86" s="2">
        <v>4</v>
      </c>
      <c r="V86" s="2"/>
    </row>
    <row r="87" spans="1:22" x14ac:dyDescent="0.3">
      <c r="A87" s="2" t="s">
        <v>5</v>
      </c>
      <c r="B87" s="424" t="s">
        <v>1118</v>
      </c>
      <c r="C87" s="424" t="s">
        <v>1079</v>
      </c>
      <c r="D87" s="424" t="s">
        <v>1281</v>
      </c>
      <c r="E87" s="424" t="s">
        <v>1367</v>
      </c>
      <c r="F87" s="95" t="s">
        <v>557</v>
      </c>
      <c r="G87" s="423">
        <v>4</v>
      </c>
      <c r="H87" s="20">
        <v>4</v>
      </c>
      <c r="N87" s="20"/>
      <c r="Q87" s="2">
        <v>4</v>
      </c>
      <c r="V87" s="2"/>
    </row>
    <row r="88" spans="1:22" x14ac:dyDescent="0.3">
      <c r="A88" s="2" t="s">
        <v>5</v>
      </c>
      <c r="B88" s="510" t="s">
        <v>1118</v>
      </c>
      <c r="C88" s="424" t="s">
        <v>1080</v>
      </c>
      <c r="D88" s="424" t="s">
        <v>680</v>
      </c>
      <c r="E88" s="424" t="s">
        <v>1367</v>
      </c>
      <c r="F88" s="95" t="s">
        <v>557</v>
      </c>
      <c r="G88" s="423">
        <v>4</v>
      </c>
      <c r="N88" s="20"/>
      <c r="U88" s="2">
        <v>4</v>
      </c>
      <c r="V88" s="2"/>
    </row>
    <row r="89" spans="1:22" x14ac:dyDescent="0.3">
      <c r="A89" s="2" t="s">
        <v>5</v>
      </c>
      <c r="B89" s="424" t="s">
        <v>1118</v>
      </c>
      <c r="C89" s="424" t="s">
        <v>1127</v>
      </c>
      <c r="D89" s="424" t="s">
        <v>1368</v>
      </c>
      <c r="E89" s="424" t="s">
        <v>1367</v>
      </c>
      <c r="F89" s="95" t="s">
        <v>557</v>
      </c>
      <c r="G89" s="423">
        <v>4</v>
      </c>
      <c r="N89" s="20"/>
      <c r="P89" s="2">
        <v>4</v>
      </c>
      <c r="V89" s="2"/>
    </row>
    <row r="90" spans="1:22" x14ac:dyDescent="0.3">
      <c r="A90" s="2" t="s">
        <v>5</v>
      </c>
      <c r="B90" s="424" t="s">
        <v>1118</v>
      </c>
      <c r="C90" s="424" t="s">
        <v>1081</v>
      </c>
      <c r="D90" s="424" t="s">
        <v>1369</v>
      </c>
      <c r="E90" s="424" t="s">
        <v>1367</v>
      </c>
      <c r="F90" s="95" t="s">
        <v>557</v>
      </c>
      <c r="G90" s="423">
        <v>4</v>
      </c>
      <c r="K90" s="449">
        <v>4</v>
      </c>
      <c r="N90" s="20"/>
      <c r="V90" s="2"/>
    </row>
    <row r="91" spans="1:22" x14ac:dyDescent="0.3">
      <c r="A91" s="2" t="s">
        <v>5</v>
      </c>
      <c r="B91" s="424" t="s">
        <v>1118</v>
      </c>
      <c r="C91" s="424" t="s">
        <v>1082</v>
      </c>
      <c r="D91" s="424" t="s">
        <v>1370</v>
      </c>
      <c r="E91" s="424" t="s">
        <v>1367</v>
      </c>
      <c r="F91" s="95" t="s">
        <v>557</v>
      </c>
      <c r="G91" s="423">
        <v>4</v>
      </c>
      <c r="N91" s="20"/>
      <c r="V91" s="2"/>
    </row>
    <row r="92" spans="1:22" x14ac:dyDescent="0.3">
      <c r="A92" s="2" t="s">
        <v>5</v>
      </c>
      <c r="B92" s="510" t="s">
        <v>1118</v>
      </c>
      <c r="C92" s="424" t="s">
        <v>1083</v>
      </c>
      <c r="D92" s="424" t="s">
        <v>1371</v>
      </c>
      <c r="E92" s="424" t="s">
        <v>1367</v>
      </c>
      <c r="F92" s="95" t="s">
        <v>557</v>
      </c>
      <c r="G92" s="423">
        <v>4</v>
      </c>
      <c r="N92" s="20"/>
      <c r="U92" s="2">
        <v>4</v>
      </c>
      <c r="V92" s="2"/>
    </row>
    <row r="93" spans="1:22" x14ac:dyDescent="0.3">
      <c r="A93" s="2" t="s">
        <v>5</v>
      </c>
      <c r="B93" s="424" t="s">
        <v>1118</v>
      </c>
      <c r="C93" s="424" t="s">
        <v>1084</v>
      </c>
      <c r="D93" s="424" t="s">
        <v>1372</v>
      </c>
      <c r="E93" s="424" t="s">
        <v>1367</v>
      </c>
      <c r="F93" s="95" t="s">
        <v>557</v>
      </c>
      <c r="G93" s="423">
        <v>4</v>
      </c>
      <c r="N93" s="20"/>
      <c r="V93" s="2"/>
    </row>
    <row r="94" spans="1:22" x14ac:dyDescent="0.3">
      <c r="A94" s="2" t="s">
        <v>5</v>
      </c>
      <c r="B94" s="424" t="s">
        <v>1118</v>
      </c>
      <c r="C94" s="424" t="s">
        <v>1085</v>
      </c>
      <c r="D94" s="424" t="s">
        <v>1373</v>
      </c>
      <c r="E94" s="424" t="s">
        <v>1367</v>
      </c>
      <c r="F94" s="95" t="s">
        <v>557</v>
      </c>
      <c r="G94" s="423">
        <v>4</v>
      </c>
      <c r="M94" s="2">
        <v>4</v>
      </c>
      <c r="N94" s="20"/>
      <c r="V94" s="2"/>
    </row>
    <row r="95" spans="1:22" x14ac:dyDescent="0.3">
      <c r="A95" s="2" t="s">
        <v>5</v>
      </c>
      <c r="B95" s="424" t="s">
        <v>1118</v>
      </c>
      <c r="C95" s="424" t="s">
        <v>1086</v>
      </c>
      <c r="D95" s="424" t="s">
        <v>1374</v>
      </c>
      <c r="E95" s="424" t="s">
        <v>1367</v>
      </c>
      <c r="F95" s="95" t="s">
        <v>557</v>
      </c>
      <c r="G95" s="423">
        <v>4</v>
      </c>
      <c r="N95" s="20"/>
      <c r="T95" s="2">
        <v>4</v>
      </c>
      <c r="V95" s="2"/>
    </row>
    <row r="96" spans="1:22" x14ac:dyDescent="0.3">
      <c r="A96" s="2" t="s">
        <v>5</v>
      </c>
      <c r="B96" s="424" t="s">
        <v>1118</v>
      </c>
      <c r="C96" s="424" t="s">
        <v>1087</v>
      </c>
      <c r="D96" s="424" t="s">
        <v>1375</v>
      </c>
      <c r="E96" s="424" t="s">
        <v>1367</v>
      </c>
      <c r="F96" s="95" t="s">
        <v>557</v>
      </c>
      <c r="G96" s="423">
        <v>4</v>
      </c>
      <c r="N96" s="20"/>
      <c r="T96" s="2">
        <v>4</v>
      </c>
      <c r="V96" s="2"/>
    </row>
    <row r="97" spans="1:22" x14ac:dyDescent="0.3">
      <c r="A97" s="2" t="s">
        <v>5</v>
      </c>
      <c r="B97" s="424" t="s">
        <v>1118</v>
      </c>
      <c r="C97" s="424" t="s">
        <v>1088</v>
      </c>
      <c r="D97" s="424" t="s">
        <v>1376</v>
      </c>
      <c r="E97" s="424" t="s">
        <v>1367</v>
      </c>
      <c r="F97" s="95" t="s">
        <v>557</v>
      </c>
      <c r="G97" s="423">
        <v>4</v>
      </c>
      <c r="N97" s="20"/>
      <c r="P97" s="2">
        <v>4</v>
      </c>
      <c r="V97" s="2"/>
    </row>
    <row r="98" spans="1:22" x14ac:dyDescent="0.3">
      <c r="A98" s="2" t="s">
        <v>5</v>
      </c>
      <c r="B98" s="424" t="s">
        <v>1118</v>
      </c>
      <c r="C98" s="424" t="s">
        <v>1089</v>
      </c>
      <c r="D98" s="424" t="s">
        <v>1377</v>
      </c>
      <c r="E98" s="424" t="s">
        <v>1367</v>
      </c>
      <c r="F98" s="95" t="s">
        <v>557</v>
      </c>
      <c r="G98" s="423">
        <v>4</v>
      </c>
      <c r="L98" s="2">
        <v>4</v>
      </c>
      <c r="N98" s="20"/>
      <c r="T98" s="2">
        <v>4</v>
      </c>
      <c r="V98" s="2"/>
    </row>
    <row r="99" spans="1:22" x14ac:dyDescent="0.3">
      <c r="A99" s="2" t="s">
        <v>5</v>
      </c>
      <c r="B99" s="424" t="s">
        <v>1118</v>
      </c>
      <c r="C99" s="424" t="s">
        <v>1090</v>
      </c>
      <c r="D99" s="424" t="s">
        <v>1378</v>
      </c>
      <c r="E99" s="424" t="s">
        <v>1367</v>
      </c>
      <c r="F99" s="95" t="s">
        <v>557</v>
      </c>
      <c r="G99" s="423">
        <v>4</v>
      </c>
      <c r="M99" s="2">
        <v>4</v>
      </c>
      <c r="N99" s="20"/>
      <c r="V99" s="2"/>
    </row>
    <row r="100" spans="1:22" x14ac:dyDescent="0.3">
      <c r="A100" s="2" t="s">
        <v>5</v>
      </c>
      <c r="B100" s="424" t="s">
        <v>1118</v>
      </c>
      <c r="C100" s="424" t="s">
        <v>1091</v>
      </c>
      <c r="D100" s="424" t="s">
        <v>1430</v>
      </c>
      <c r="E100" s="424" t="s">
        <v>1367</v>
      </c>
      <c r="F100" s="95" t="s">
        <v>557</v>
      </c>
      <c r="G100" s="423">
        <v>4</v>
      </c>
      <c r="J100" s="20">
        <v>4</v>
      </c>
      <c r="N100" s="20"/>
      <c r="V100" s="2"/>
    </row>
    <row r="101" spans="1:22" x14ac:dyDescent="0.3">
      <c r="A101" s="2" t="s">
        <v>5</v>
      </c>
      <c r="B101" s="510" t="s">
        <v>1118</v>
      </c>
      <c r="C101" s="424" t="s">
        <v>1092</v>
      </c>
      <c r="D101" s="424" t="s">
        <v>1431</v>
      </c>
      <c r="E101" s="424" t="s">
        <v>1367</v>
      </c>
      <c r="F101" s="95" t="s">
        <v>557</v>
      </c>
      <c r="G101" s="423">
        <v>4</v>
      </c>
      <c r="N101" s="20"/>
      <c r="U101" s="2">
        <v>4</v>
      </c>
      <c r="V101" s="2"/>
    </row>
    <row r="102" spans="1:22" x14ac:dyDescent="0.3">
      <c r="A102" s="2" t="s">
        <v>5</v>
      </c>
      <c r="B102" s="424" t="s">
        <v>1118</v>
      </c>
      <c r="C102" s="424" t="s">
        <v>1093</v>
      </c>
      <c r="D102" s="424" t="s">
        <v>1432</v>
      </c>
      <c r="E102" s="424" t="s">
        <v>1367</v>
      </c>
      <c r="F102" s="95" t="s">
        <v>557</v>
      </c>
      <c r="G102" s="423">
        <v>4</v>
      </c>
      <c r="K102" s="449">
        <v>4</v>
      </c>
      <c r="N102" s="20"/>
      <c r="S102" s="20">
        <v>4</v>
      </c>
      <c r="V102" s="2"/>
    </row>
    <row r="103" spans="1:22" x14ac:dyDescent="0.3">
      <c r="A103" s="2" t="s">
        <v>5</v>
      </c>
      <c r="B103" s="424" t="s">
        <v>1118</v>
      </c>
      <c r="C103" s="424" t="s">
        <v>1094</v>
      </c>
      <c r="D103" s="424" t="s">
        <v>1433</v>
      </c>
      <c r="E103" s="424" t="s">
        <v>1367</v>
      </c>
      <c r="F103" s="95" t="s">
        <v>557</v>
      </c>
      <c r="G103" s="423">
        <v>4</v>
      </c>
      <c r="M103" s="2">
        <v>4</v>
      </c>
      <c r="N103" s="20"/>
      <c r="V103" s="2"/>
    </row>
    <row r="104" spans="1:22" x14ac:dyDescent="0.3">
      <c r="A104" s="2" t="s">
        <v>5</v>
      </c>
      <c r="B104" s="424" t="s">
        <v>1118</v>
      </c>
      <c r="C104" s="424" t="s">
        <v>1095</v>
      </c>
      <c r="D104" s="424" t="s">
        <v>1434</v>
      </c>
      <c r="E104" s="424" t="s">
        <v>1367</v>
      </c>
      <c r="F104" s="95" t="s">
        <v>557</v>
      </c>
      <c r="G104" s="423">
        <v>4</v>
      </c>
      <c r="H104" s="20">
        <v>4</v>
      </c>
      <c r="N104" s="20"/>
      <c r="V104" s="2"/>
    </row>
    <row r="105" spans="1:22" x14ac:dyDescent="0.3">
      <c r="A105" s="2" t="s">
        <v>5</v>
      </c>
      <c r="B105" s="424" t="s">
        <v>1118</v>
      </c>
      <c r="C105" s="424" t="s">
        <v>1096</v>
      </c>
      <c r="D105" s="424" t="s">
        <v>1379</v>
      </c>
      <c r="E105" s="424" t="s">
        <v>1367</v>
      </c>
      <c r="F105" s="95" t="s">
        <v>557</v>
      </c>
      <c r="G105" s="423">
        <v>4</v>
      </c>
      <c r="M105" s="2">
        <v>4</v>
      </c>
      <c r="N105" s="20"/>
      <c r="V105" s="2"/>
    </row>
    <row r="106" spans="1:22" x14ac:dyDescent="0.3">
      <c r="A106" s="2" t="s">
        <v>5</v>
      </c>
      <c r="B106" s="510" t="s">
        <v>1118</v>
      </c>
      <c r="C106" s="424" t="s">
        <v>1097</v>
      </c>
      <c r="D106" s="424" t="s">
        <v>1380</v>
      </c>
      <c r="E106" s="424" t="s">
        <v>1367</v>
      </c>
      <c r="F106" s="95" t="s">
        <v>557</v>
      </c>
      <c r="G106" s="423">
        <v>4</v>
      </c>
      <c r="H106" s="20">
        <v>4</v>
      </c>
      <c r="N106" s="20"/>
      <c r="U106" s="2">
        <v>4</v>
      </c>
      <c r="V106" s="2">
        <v>4</v>
      </c>
    </row>
    <row r="107" spans="1:22" x14ac:dyDescent="0.3">
      <c r="A107" s="2" t="s">
        <v>5</v>
      </c>
      <c r="B107" s="510" t="s">
        <v>1118</v>
      </c>
      <c r="C107" s="424" t="s">
        <v>1098</v>
      </c>
      <c r="D107" s="424" t="s">
        <v>1381</v>
      </c>
      <c r="E107" s="424" t="s">
        <v>1367</v>
      </c>
      <c r="F107" s="95" t="s">
        <v>557</v>
      </c>
      <c r="G107" s="423">
        <v>4</v>
      </c>
      <c r="N107" s="20"/>
      <c r="U107" s="2">
        <v>4</v>
      </c>
      <c r="V107" s="2"/>
    </row>
    <row r="108" spans="1:22" x14ac:dyDescent="0.3">
      <c r="A108" s="2" t="s">
        <v>5</v>
      </c>
      <c r="B108" s="424" t="s">
        <v>1118</v>
      </c>
      <c r="C108" s="424" t="s">
        <v>1099</v>
      </c>
      <c r="D108" s="424" t="s">
        <v>1382</v>
      </c>
      <c r="E108" s="424" t="s">
        <v>1367</v>
      </c>
      <c r="F108" s="95" t="s">
        <v>557</v>
      </c>
      <c r="G108" s="423">
        <v>4</v>
      </c>
      <c r="N108" s="20"/>
      <c r="T108" s="2">
        <v>4</v>
      </c>
      <c r="V108" s="2"/>
    </row>
    <row r="109" spans="1:22" x14ac:dyDescent="0.3">
      <c r="A109" s="2" t="s">
        <v>5</v>
      </c>
      <c r="B109" s="424" t="s">
        <v>1118</v>
      </c>
      <c r="C109" s="424" t="s">
        <v>1100</v>
      </c>
      <c r="D109" s="424" t="s">
        <v>1383</v>
      </c>
      <c r="E109" s="424" t="s">
        <v>1367</v>
      </c>
      <c r="F109" s="95" t="s">
        <v>557</v>
      </c>
      <c r="G109" s="423">
        <v>4</v>
      </c>
      <c r="H109" s="20">
        <v>4</v>
      </c>
      <c r="N109" s="20"/>
      <c r="V109" s="2"/>
    </row>
    <row r="110" spans="1:22" x14ac:dyDescent="0.3">
      <c r="A110" s="2" t="s">
        <v>5</v>
      </c>
      <c r="B110" s="424" t="s">
        <v>1118</v>
      </c>
      <c r="C110" s="424" t="s">
        <v>1101</v>
      </c>
      <c r="D110" s="424" t="s">
        <v>1384</v>
      </c>
      <c r="E110" s="424" t="s">
        <v>1367</v>
      </c>
      <c r="F110" s="95" t="s">
        <v>557</v>
      </c>
      <c r="G110" s="423">
        <v>4</v>
      </c>
      <c r="M110" s="2">
        <v>4</v>
      </c>
      <c r="N110" s="20"/>
      <c r="V110" s="2"/>
    </row>
    <row r="111" spans="1:22" x14ac:dyDescent="0.3">
      <c r="A111" s="2" t="s">
        <v>5</v>
      </c>
      <c r="B111" s="424" t="s">
        <v>1118</v>
      </c>
      <c r="C111" s="424" t="s">
        <v>1102</v>
      </c>
      <c r="D111" s="424" t="s">
        <v>1385</v>
      </c>
      <c r="E111" s="424" t="s">
        <v>1367</v>
      </c>
      <c r="F111" s="95" t="s">
        <v>557</v>
      </c>
      <c r="G111" s="423">
        <v>4</v>
      </c>
      <c r="H111" s="20">
        <v>4</v>
      </c>
      <c r="N111" s="20"/>
      <c r="V111" s="2">
        <v>4</v>
      </c>
    </row>
    <row r="112" spans="1:22" x14ac:dyDescent="0.3">
      <c r="A112" s="2" t="s">
        <v>5</v>
      </c>
      <c r="B112" s="424" t="s">
        <v>1118</v>
      </c>
      <c r="C112" s="424" t="s">
        <v>1103</v>
      </c>
      <c r="D112" s="424" t="s">
        <v>1386</v>
      </c>
      <c r="E112" s="424" t="s">
        <v>1367</v>
      </c>
      <c r="F112" s="95" t="s">
        <v>557</v>
      </c>
      <c r="G112" s="423">
        <v>4</v>
      </c>
      <c r="N112" s="20"/>
      <c r="V112" s="2">
        <v>4</v>
      </c>
    </row>
    <row r="113" spans="1:22" x14ac:dyDescent="0.3">
      <c r="A113" s="2" t="s">
        <v>5</v>
      </c>
      <c r="B113" s="424" t="s">
        <v>1118</v>
      </c>
      <c r="C113" s="424" t="s">
        <v>1104</v>
      </c>
      <c r="D113" s="424" t="s">
        <v>1387</v>
      </c>
      <c r="E113" s="424" t="s">
        <v>1367</v>
      </c>
      <c r="F113" s="95" t="s">
        <v>557</v>
      </c>
      <c r="G113" s="423">
        <v>4</v>
      </c>
      <c r="H113" s="20">
        <v>4</v>
      </c>
      <c r="N113" s="20"/>
      <c r="V113" s="2"/>
    </row>
    <row r="114" spans="1:22" x14ac:dyDescent="0.3">
      <c r="A114" s="2" t="s">
        <v>5</v>
      </c>
      <c r="B114" s="424" t="s">
        <v>1118</v>
      </c>
      <c r="C114" s="424" t="s">
        <v>1105</v>
      </c>
      <c r="D114" s="424" t="s">
        <v>1388</v>
      </c>
      <c r="E114" s="424" t="s">
        <v>1367</v>
      </c>
      <c r="F114" s="95" t="s">
        <v>557</v>
      </c>
      <c r="G114" s="423">
        <v>4</v>
      </c>
      <c r="N114" s="20"/>
      <c r="V114" s="2"/>
    </row>
    <row r="115" spans="1:22" x14ac:dyDescent="0.3">
      <c r="A115" s="2" t="s">
        <v>5</v>
      </c>
      <c r="B115" s="424" t="s">
        <v>1118</v>
      </c>
      <c r="C115" s="424" t="s">
        <v>1106</v>
      </c>
      <c r="D115" s="424" t="s">
        <v>1389</v>
      </c>
      <c r="E115" s="424" t="s">
        <v>1367</v>
      </c>
      <c r="F115" s="95" t="s">
        <v>557</v>
      </c>
      <c r="G115" s="423">
        <v>4</v>
      </c>
      <c r="H115" s="20">
        <v>4</v>
      </c>
      <c r="N115" s="20"/>
      <c r="V115" s="2">
        <v>4</v>
      </c>
    </row>
    <row r="116" spans="1:22" x14ac:dyDescent="0.3">
      <c r="A116" s="2" t="s">
        <v>5</v>
      </c>
      <c r="B116" s="424" t="s">
        <v>1118</v>
      </c>
      <c r="C116" s="424" t="s">
        <v>1107</v>
      </c>
      <c r="D116" s="425" t="s">
        <v>1390</v>
      </c>
      <c r="E116" s="424" t="s">
        <v>1367</v>
      </c>
      <c r="F116" s="95" t="s">
        <v>557</v>
      </c>
      <c r="G116" s="423">
        <v>4</v>
      </c>
      <c r="H116" s="20">
        <v>4</v>
      </c>
      <c r="N116" s="20"/>
      <c r="V116" s="2">
        <v>4</v>
      </c>
    </row>
    <row r="117" spans="1:22" x14ac:dyDescent="0.3">
      <c r="A117" s="2" t="s">
        <v>5</v>
      </c>
      <c r="B117" s="424" t="s">
        <v>1118</v>
      </c>
      <c r="C117" s="424" t="s">
        <v>1108</v>
      </c>
      <c r="D117" s="424" t="s">
        <v>1391</v>
      </c>
      <c r="E117" s="424" t="s">
        <v>1367</v>
      </c>
      <c r="F117" s="95" t="s">
        <v>557</v>
      </c>
      <c r="G117" s="423">
        <v>4</v>
      </c>
      <c r="N117" s="20"/>
      <c r="V117" s="2">
        <v>4</v>
      </c>
    </row>
    <row r="118" spans="1:22" x14ac:dyDescent="0.3">
      <c r="A118" s="2" t="s">
        <v>5</v>
      </c>
      <c r="B118" s="424" t="s">
        <v>1118</v>
      </c>
      <c r="C118" s="424" t="s">
        <v>1109</v>
      </c>
      <c r="D118" s="424" t="s">
        <v>1392</v>
      </c>
      <c r="E118" s="424" t="s">
        <v>1367</v>
      </c>
      <c r="F118" s="95" t="s">
        <v>557</v>
      </c>
      <c r="G118" s="423">
        <v>4</v>
      </c>
      <c r="N118" s="20"/>
      <c r="V118" s="2">
        <v>4</v>
      </c>
    </row>
    <row r="119" spans="1:22" x14ac:dyDescent="0.3">
      <c r="A119" s="2" t="s">
        <v>5</v>
      </c>
      <c r="B119" s="424" t="s">
        <v>1118</v>
      </c>
      <c r="C119" s="424" t="s">
        <v>1110</v>
      </c>
      <c r="D119" s="424" t="s">
        <v>1393</v>
      </c>
      <c r="E119" s="424" t="s">
        <v>1367</v>
      </c>
      <c r="F119" s="95" t="s">
        <v>557</v>
      </c>
      <c r="G119" s="423">
        <v>4</v>
      </c>
      <c r="J119" s="20">
        <v>4</v>
      </c>
      <c r="N119" s="20"/>
      <c r="V119" s="2"/>
    </row>
    <row r="120" spans="1:22" x14ac:dyDescent="0.3">
      <c r="A120" s="2" t="s">
        <v>5</v>
      </c>
      <c r="B120" s="424" t="s">
        <v>1118</v>
      </c>
      <c r="C120" s="424" t="s">
        <v>1111</v>
      </c>
      <c r="D120" s="424" t="s">
        <v>1394</v>
      </c>
      <c r="E120" s="424" t="s">
        <v>1367</v>
      </c>
      <c r="F120" s="95" t="s">
        <v>557</v>
      </c>
      <c r="G120" s="423">
        <v>4</v>
      </c>
      <c r="N120" s="20"/>
      <c r="T120" s="2">
        <v>4</v>
      </c>
      <c r="V120" s="2"/>
    </row>
    <row r="121" spans="1:22" x14ac:dyDescent="0.3">
      <c r="A121" s="2" t="s">
        <v>5</v>
      </c>
      <c r="B121" s="424" t="s">
        <v>1118</v>
      </c>
      <c r="C121" s="424" t="s">
        <v>1112</v>
      </c>
      <c r="D121" s="424" t="s">
        <v>1395</v>
      </c>
      <c r="E121" s="424" t="s">
        <v>1367</v>
      </c>
      <c r="F121" s="95" t="s">
        <v>557</v>
      </c>
      <c r="G121" s="423">
        <v>4</v>
      </c>
      <c r="N121" s="20"/>
      <c r="V121" s="2"/>
    </row>
    <row r="122" spans="1:22" x14ac:dyDescent="0.3">
      <c r="A122" s="2" t="s">
        <v>5</v>
      </c>
      <c r="B122" s="424" t="s">
        <v>1118</v>
      </c>
      <c r="C122" s="424" t="s">
        <v>1113</v>
      </c>
      <c r="D122" s="424" t="s">
        <v>1396</v>
      </c>
      <c r="E122" s="424" t="s">
        <v>1367</v>
      </c>
      <c r="F122" s="95" t="s">
        <v>557</v>
      </c>
      <c r="G122" s="423">
        <v>4</v>
      </c>
      <c r="H122" s="20">
        <v>4</v>
      </c>
      <c r="N122" s="20"/>
      <c r="V122" s="2"/>
    </row>
    <row r="123" spans="1:22" x14ac:dyDescent="0.3">
      <c r="A123" s="2" t="s">
        <v>5</v>
      </c>
      <c r="B123" s="424" t="s">
        <v>1118</v>
      </c>
      <c r="C123" s="424" t="s">
        <v>1114</v>
      </c>
      <c r="D123" s="424" t="s">
        <v>1397</v>
      </c>
      <c r="E123" s="424" t="s">
        <v>1367</v>
      </c>
      <c r="F123" s="95" t="s">
        <v>557</v>
      </c>
      <c r="G123" s="423">
        <v>4</v>
      </c>
      <c r="N123" s="20"/>
      <c r="V123" s="2"/>
    </row>
    <row r="124" spans="1:22" x14ac:dyDescent="0.3">
      <c r="A124" s="2" t="s">
        <v>5</v>
      </c>
      <c r="B124" s="424" t="s">
        <v>1118</v>
      </c>
      <c r="C124" s="424" t="s">
        <v>1115</v>
      </c>
      <c r="D124" s="424" t="s">
        <v>1399</v>
      </c>
      <c r="E124" s="424" t="s">
        <v>1367</v>
      </c>
      <c r="F124" s="95" t="s">
        <v>557</v>
      </c>
      <c r="G124" s="423">
        <v>4</v>
      </c>
      <c r="N124" s="20"/>
      <c r="V124" s="2"/>
    </row>
    <row r="125" spans="1:22" x14ac:dyDescent="0.3">
      <c r="A125" s="2" t="s">
        <v>5</v>
      </c>
      <c r="B125" s="424" t="s">
        <v>1118</v>
      </c>
      <c r="C125" s="424" t="s">
        <v>1116</v>
      </c>
      <c r="D125" s="424" t="s">
        <v>1398</v>
      </c>
      <c r="E125" s="424" t="s">
        <v>1367</v>
      </c>
      <c r="F125" s="95" t="s">
        <v>557</v>
      </c>
      <c r="G125" s="423">
        <v>4</v>
      </c>
      <c r="N125" s="20"/>
      <c r="T125" s="2">
        <v>4</v>
      </c>
      <c r="V125" s="2"/>
    </row>
    <row r="126" spans="1:22" x14ac:dyDescent="0.3">
      <c r="A126" s="2" t="s">
        <v>5</v>
      </c>
      <c r="B126" s="424" t="s">
        <v>1118</v>
      </c>
      <c r="C126" s="424" t="s">
        <v>1117</v>
      </c>
      <c r="D126" s="424" t="s">
        <v>1400</v>
      </c>
      <c r="E126" s="424" t="s">
        <v>1367</v>
      </c>
      <c r="F126" s="95" t="s">
        <v>557</v>
      </c>
      <c r="G126" s="423">
        <v>4</v>
      </c>
      <c r="I126" s="20">
        <v>4</v>
      </c>
      <c r="N126" s="20"/>
      <c r="V126" s="2">
        <v>4</v>
      </c>
    </row>
    <row r="127" spans="1:22" ht="12.65" customHeight="1" x14ac:dyDescent="0.3">
      <c r="A127" s="2" t="s">
        <v>5</v>
      </c>
      <c r="B127" s="509" t="s">
        <v>1008</v>
      </c>
      <c r="C127" s="424" t="s">
        <v>1022</v>
      </c>
      <c r="D127" s="424" t="s">
        <v>965</v>
      </c>
      <c r="E127" s="424" t="s">
        <v>1539</v>
      </c>
      <c r="F127" s="95" t="s">
        <v>1013</v>
      </c>
      <c r="G127" s="423">
        <v>1</v>
      </c>
      <c r="H127" s="20">
        <v>1</v>
      </c>
      <c r="I127" s="20">
        <v>1</v>
      </c>
      <c r="J127" s="20">
        <v>1</v>
      </c>
      <c r="K127" s="449">
        <v>1</v>
      </c>
      <c r="M127" s="2">
        <v>1</v>
      </c>
      <c r="N127" s="431">
        <v>1</v>
      </c>
      <c r="O127" s="2">
        <v>1</v>
      </c>
      <c r="P127" s="2">
        <v>1</v>
      </c>
      <c r="Q127" s="2">
        <v>1</v>
      </c>
      <c r="R127" s="2">
        <v>1</v>
      </c>
      <c r="S127" s="20">
        <v>1</v>
      </c>
      <c r="T127" s="2">
        <v>1</v>
      </c>
      <c r="U127" s="2">
        <v>1</v>
      </c>
      <c r="V127" s="431">
        <v>1</v>
      </c>
    </row>
    <row r="128" spans="1:22" ht="12.65" customHeight="1" x14ac:dyDescent="0.3">
      <c r="A128" s="2" t="s">
        <v>5</v>
      </c>
      <c r="B128" s="509" t="s">
        <v>1008</v>
      </c>
      <c r="C128" s="424" t="s">
        <v>1022</v>
      </c>
      <c r="D128" s="424" t="s">
        <v>1438</v>
      </c>
      <c r="E128" s="422" t="s">
        <v>1337</v>
      </c>
      <c r="F128" s="95" t="s">
        <v>1013</v>
      </c>
      <c r="G128" s="423">
        <v>1</v>
      </c>
      <c r="H128" s="20">
        <v>1</v>
      </c>
      <c r="I128" s="20">
        <v>1</v>
      </c>
      <c r="J128" s="20">
        <v>1</v>
      </c>
      <c r="K128" s="449">
        <v>1</v>
      </c>
      <c r="M128" s="2">
        <v>1</v>
      </c>
      <c r="N128" s="431">
        <v>1</v>
      </c>
      <c r="O128" s="2">
        <v>1</v>
      </c>
      <c r="P128" s="2">
        <v>1</v>
      </c>
      <c r="Q128" s="2">
        <v>1</v>
      </c>
      <c r="R128" s="2">
        <v>1</v>
      </c>
      <c r="S128" s="20">
        <v>1</v>
      </c>
      <c r="T128" s="2">
        <v>1</v>
      </c>
      <c r="U128" s="2">
        <v>1</v>
      </c>
      <c r="V128" s="431">
        <v>1</v>
      </c>
    </row>
    <row r="129" spans="1:22" ht="12.65" customHeight="1" x14ac:dyDescent="0.3">
      <c r="A129" s="2" t="s">
        <v>5</v>
      </c>
      <c r="B129" s="509" t="s">
        <v>1008</v>
      </c>
      <c r="C129" s="424" t="s">
        <v>1022</v>
      </c>
      <c r="D129" s="424" t="s">
        <v>1435</v>
      </c>
      <c r="E129" s="422" t="s">
        <v>1338</v>
      </c>
      <c r="F129" s="95" t="s">
        <v>1013</v>
      </c>
      <c r="G129" s="423">
        <v>1</v>
      </c>
      <c r="H129" s="20">
        <v>1</v>
      </c>
      <c r="I129" s="20">
        <v>1</v>
      </c>
      <c r="J129" s="20">
        <v>1</v>
      </c>
      <c r="K129" s="449">
        <v>1</v>
      </c>
      <c r="M129" s="2">
        <v>1</v>
      </c>
      <c r="N129" s="431">
        <v>1</v>
      </c>
      <c r="O129" s="2">
        <v>1</v>
      </c>
      <c r="P129" s="2">
        <v>1</v>
      </c>
      <c r="Q129" s="2">
        <v>1</v>
      </c>
      <c r="R129" s="2">
        <v>1</v>
      </c>
      <c r="S129" s="20">
        <v>1</v>
      </c>
      <c r="T129" s="2">
        <v>1</v>
      </c>
      <c r="U129" s="2">
        <v>1</v>
      </c>
      <c r="V129" s="431">
        <v>1</v>
      </c>
    </row>
    <row r="130" spans="1:22" ht="12.65" customHeight="1" x14ac:dyDescent="0.3">
      <c r="A130" s="2" t="s">
        <v>5</v>
      </c>
      <c r="B130" s="509" t="s">
        <v>1008</v>
      </c>
      <c r="C130" s="424" t="s">
        <v>1022</v>
      </c>
      <c r="D130" s="424" t="s">
        <v>1439</v>
      </c>
      <c r="E130" s="422" t="s">
        <v>1339</v>
      </c>
      <c r="F130" s="95" t="s">
        <v>1013</v>
      </c>
      <c r="G130" s="423">
        <v>1</v>
      </c>
      <c r="H130" s="20">
        <v>1</v>
      </c>
      <c r="I130" s="20">
        <v>1</v>
      </c>
      <c r="J130" s="20">
        <v>1</v>
      </c>
      <c r="K130" s="449">
        <v>1</v>
      </c>
      <c r="M130" s="2">
        <v>1</v>
      </c>
      <c r="N130" s="431">
        <v>1</v>
      </c>
      <c r="O130" s="2">
        <v>1</v>
      </c>
      <c r="P130" s="2">
        <v>1</v>
      </c>
      <c r="Q130" s="2">
        <v>1</v>
      </c>
      <c r="R130" s="2">
        <v>1</v>
      </c>
      <c r="S130" s="20">
        <v>1</v>
      </c>
      <c r="T130" s="2">
        <v>1</v>
      </c>
      <c r="U130" s="2">
        <v>1</v>
      </c>
      <c r="V130" s="431">
        <v>1</v>
      </c>
    </row>
    <row r="131" spans="1:22" ht="12.65" customHeight="1" x14ac:dyDescent="0.3">
      <c r="A131" s="2" t="s">
        <v>5</v>
      </c>
      <c r="B131" s="509" t="s">
        <v>1008</v>
      </c>
      <c r="C131" s="424"/>
      <c r="D131" s="424" t="s">
        <v>1444</v>
      </c>
      <c r="E131" s="422" t="s">
        <v>1540</v>
      </c>
      <c r="F131" s="95" t="s">
        <v>1013</v>
      </c>
      <c r="G131" s="423">
        <v>1</v>
      </c>
      <c r="H131" s="20">
        <v>1</v>
      </c>
      <c r="I131" s="20">
        <v>1</v>
      </c>
      <c r="J131" s="20">
        <v>1</v>
      </c>
      <c r="K131" s="449">
        <v>1</v>
      </c>
      <c r="M131" s="2">
        <v>1</v>
      </c>
      <c r="N131" s="431">
        <v>1</v>
      </c>
      <c r="O131" s="2">
        <v>1</v>
      </c>
      <c r="P131" s="2">
        <v>1</v>
      </c>
      <c r="Q131" s="2">
        <v>1</v>
      </c>
      <c r="R131" s="2">
        <v>1</v>
      </c>
      <c r="S131" s="20">
        <v>1</v>
      </c>
      <c r="T131" s="2">
        <v>1</v>
      </c>
      <c r="U131" s="2">
        <v>1</v>
      </c>
      <c r="V131" s="431">
        <v>1</v>
      </c>
    </row>
    <row r="132" spans="1:22" x14ac:dyDescent="0.3">
      <c r="A132" s="2" t="s">
        <v>5</v>
      </c>
      <c r="B132" s="509" t="s">
        <v>1008</v>
      </c>
      <c r="C132" s="424"/>
      <c r="D132" s="424" t="s">
        <v>960</v>
      </c>
      <c r="E132" s="422"/>
      <c r="F132" s="95" t="s">
        <v>1013</v>
      </c>
      <c r="G132" s="423">
        <v>1</v>
      </c>
      <c r="H132" s="20">
        <v>1</v>
      </c>
      <c r="I132" s="20">
        <v>1</v>
      </c>
      <c r="J132" s="20">
        <v>1</v>
      </c>
      <c r="K132" s="449">
        <v>1</v>
      </c>
      <c r="M132" s="2">
        <v>1</v>
      </c>
      <c r="N132" s="431">
        <v>1</v>
      </c>
      <c r="O132" s="2">
        <v>1</v>
      </c>
      <c r="P132" s="2">
        <v>1</v>
      </c>
      <c r="Q132" s="2">
        <v>1</v>
      </c>
      <c r="R132" s="2">
        <v>1</v>
      </c>
      <c r="S132" s="20">
        <v>1</v>
      </c>
      <c r="T132" s="2">
        <v>1</v>
      </c>
      <c r="U132" s="2">
        <v>1</v>
      </c>
      <c r="V132" s="431">
        <v>1</v>
      </c>
    </row>
    <row r="133" spans="1:22" x14ac:dyDescent="0.3">
      <c r="A133" s="2" t="s">
        <v>5</v>
      </c>
      <c r="B133" s="509" t="s">
        <v>1008</v>
      </c>
      <c r="C133" s="424" t="s">
        <v>1022</v>
      </c>
      <c r="D133" s="424" t="s">
        <v>1440</v>
      </c>
      <c r="E133" s="422" t="s">
        <v>1340</v>
      </c>
      <c r="F133" s="95" t="s">
        <v>1013</v>
      </c>
      <c r="G133" s="423">
        <v>1</v>
      </c>
      <c r="H133" s="20">
        <v>1</v>
      </c>
      <c r="I133" s="20">
        <v>1</v>
      </c>
      <c r="J133" s="20">
        <v>1</v>
      </c>
      <c r="K133" s="449">
        <v>1</v>
      </c>
      <c r="L133" s="2">
        <v>1</v>
      </c>
      <c r="M133" s="2">
        <v>1</v>
      </c>
      <c r="N133" s="431">
        <v>1</v>
      </c>
      <c r="O133" s="2">
        <v>1</v>
      </c>
      <c r="P133" s="2">
        <v>1</v>
      </c>
      <c r="Q133" s="2">
        <v>1</v>
      </c>
      <c r="R133" s="2">
        <v>1</v>
      </c>
      <c r="S133" s="20">
        <v>1</v>
      </c>
      <c r="T133" s="2">
        <v>1</v>
      </c>
      <c r="U133" s="2">
        <v>1</v>
      </c>
      <c r="V133" s="431">
        <v>1</v>
      </c>
    </row>
    <row r="134" spans="1:22" x14ac:dyDescent="0.3">
      <c r="A134" s="2" t="s">
        <v>5</v>
      </c>
      <c r="B134" s="509" t="s">
        <v>1008</v>
      </c>
      <c r="C134" s="424" t="s">
        <v>1022</v>
      </c>
      <c r="D134" s="424" t="s">
        <v>822</v>
      </c>
      <c r="E134" s="422" t="s">
        <v>1009</v>
      </c>
      <c r="F134" s="95" t="s">
        <v>1013</v>
      </c>
      <c r="G134" s="423">
        <v>1</v>
      </c>
      <c r="H134" s="20">
        <v>1</v>
      </c>
      <c r="I134" s="20">
        <v>1</v>
      </c>
      <c r="J134" s="20">
        <v>1</v>
      </c>
      <c r="K134" s="449">
        <v>1</v>
      </c>
      <c r="L134" s="2">
        <v>1</v>
      </c>
      <c r="M134" s="2">
        <v>1</v>
      </c>
      <c r="N134" s="431">
        <v>1</v>
      </c>
      <c r="O134" s="2">
        <v>1</v>
      </c>
      <c r="P134" s="2">
        <v>1</v>
      </c>
      <c r="Q134" s="2">
        <v>1</v>
      </c>
      <c r="R134" s="2">
        <v>1</v>
      </c>
      <c r="S134" s="20">
        <v>1</v>
      </c>
      <c r="T134" s="2">
        <v>1</v>
      </c>
      <c r="U134" s="2">
        <v>1</v>
      </c>
      <c r="V134" s="431">
        <v>1</v>
      </c>
    </row>
    <row r="135" spans="1:22" ht="17.25" customHeight="1" x14ac:dyDescent="0.3">
      <c r="A135" s="2" t="s">
        <v>1018</v>
      </c>
      <c r="B135" s="510" t="s">
        <v>1119</v>
      </c>
      <c r="C135" s="424" t="s">
        <v>1022</v>
      </c>
      <c r="D135" s="424" t="s">
        <v>1282</v>
      </c>
      <c r="E135" s="422" t="s">
        <v>1341</v>
      </c>
      <c r="F135" s="95" t="s">
        <v>552</v>
      </c>
      <c r="G135" s="423">
        <v>1</v>
      </c>
      <c r="H135" s="20">
        <v>1</v>
      </c>
      <c r="I135" s="20">
        <v>1</v>
      </c>
      <c r="J135" s="20">
        <v>1</v>
      </c>
      <c r="K135" s="449">
        <v>1</v>
      </c>
      <c r="L135" s="2">
        <v>1</v>
      </c>
      <c r="M135" s="2">
        <v>1</v>
      </c>
      <c r="N135" s="431">
        <v>1</v>
      </c>
      <c r="O135" s="2">
        <v>1</v>
      </c>
      <c r="P135" s="2">
        <v>1</v>
      </c>
      <c r="Q135" s="2">
        <v>1</v>
      </c>
      <c r="R135" s="2">
        <v>1</v>
      </c>
      <c r="S135" s="20">
        <v>1</v>
      </c>
      <c r="T135" s="2">
        <v>1</v>
      </c>
      <c r="U135" s="2">
        <v>1</v>
      </c>
    </row>
    <row r="136" spans="1:22" x14ac:dyDescent="0.3">
      <c r="A136" s="2" t="s">
        <v>1018</v>
      </c>
      <c r="B136" s="424" t="s">
        <v>1119</v>
      </c>
      <c r="C136" s="424" t="s">
        <v>1022</v>
      </c>
      <c r="D136" s="424" t="s">
        <v>1282</v>
      </c>
      <c r="E136" s="422" t="s">
        <v>1360</v>
      </c>
      <c r="F136" s="95" t="s">
        <v>552</v>
      </c>
      <c r="G136" s="423">
        <v>3</v>
      </c>
      <c r="H136" s="2"/>
      <c r="I136" s="2"/>
      <c r="R136" s="2">
        <v>3</v>
      </c>
      <c r="V136" s="2"/>
    </row>
    <row r="137" spans="1:22" x14ac:dyDescent="0.3">
      <c r="A137" s="2" t="s">
        <v>1018</v>
      </c>
      <c r="B137" s="424" t="s">
        <v>1119</v>
      </c>
      <c r="C137" s="424" t="s">
        <v>1022</v>
      </c>
      <c r="D137" s="424" t="s">
        <v>1282</v>
      </c>
      <c r="E137" s="422" t="s">
        <v>1361</v>
      </c>
      <c r="F137" s="95" t="s">
        <v>552</v>
      </c>
      <c r="G137" s="423">
        <v>3</v>
      </c>
      <c r="H137" s="2"/>
      <c r="I137" s="2"/>
      <c r="R137" s="2">
        <v>3</v>
      </c>
      <c r="V137" s="2"/>
    </row>
    <row r="138" spans="1:22" x14ac:dyDescent="0.3">
      <c r="A138" s="95" t="s">
        <v>1018</v>
      </c>
      <c r="B138" s="424" t="s">
        <v>1119</v>
      </c>
      <c r="C138" s="424" t="s">
        <v>1022</v>
      </c>
      <c r="D138" s="424" t="s">
        <v>1282</v>
      </c>
      <c r="E138" s="422" t="s">
        <v>1362</v>
      </c>
      <c r="F138" s="95" t="s">
        <v>552</v>
      </c>
      <c r="G138" s="423">
        <v>0</v>
      </c>
      <c r="H138" s="2"/>
      <c r="I138" s="2"/>
      <c r="N138" s="2"/>
      <c r="V138" s="2"/>
    </row>
    <row r="139" spans="1:22" x14ac:dyDescent="0.3">
      <c r="A139" s="95" t="s">
        <v>1018</v>
      </c>
      <c r="B139" s="424" t="s">
        <v>1119</v>
      </c>
      <c r="C139" s="424" t="s">
        <v>1022</v>
      </c>
      <c r="D139" s="424" t="s">
        <v>1282</v>
      </c>
      <c r="E139" s="422" t="s">
        <v>1358</v>
      </c>
      <c r="F139" s="95" t="s">
        <v>552</v>
      </c>
      <c r="G139" s="423">
        <v>0</v>
      </c>
      <c r="H139" s="2"/>
      <c r="I139" s="2"/>
      <c r="N139" s="2"/>
      <c r="V139" s="2"/>
    </row>
    <row r="140" spans="1:22" x14ac:dyDescent="0.3">
      <c r="A140" s="95" t="s">
        <v>1018</v>
      </c>
      <c r="B140" s="424" t="s">
        <v>1119</v>
      </c>
      <c r="C140" s="424" t="s">
        <v>1120</v>
      </c>
      <c r="D140" s="424" t="s">
        <v>1283</v>
      </c>
      <c r="E140" s="424" t="s">
        <v>1367</v>
      </c>
      <c r="F140" s="95" t="s">
        <v>552</v>
      </c>
      <c r="G140" s="423">
        <v>4</v>
      </c>
      <c r="N140" s="20"/>
      <c r="V140" s="2"/>
    </row>
    <row r="141" spans="1:22" x14ac:dyDescent="0.3">
      <c r="A141" s="95" t="s">
        <v>1018</v>
      </c>
      <c r="B141" s="424" t="s">
        <v>1119</v>
      </c>
      <c r="C141" s="424" t="s">
        <v>1121</v>
      </c>
      <c r="D141" s="424" t="s">
        <v>1284</v>
      </c>
      <c r="E141" s="424" t="s">
        <v>1367</v>
      </c>
      <c r="F141" s="95" t="s">
        <v>552</v>
      </c>
      <c r="G141" s="423">
        <v>4</v>
      </c>
      <c r="N141" s="20"/>
      <c r="V141" s="2"/>
    </row>
    <row r="142" spans="1:22" x14ac:dyDescent="0.3">
      <c r="A142" s="2" t="s">
        <v>1018</v>
      </c>
      <c r="B142" s="424" t="s">
        <v>1119</v>
      </c>
      <c r="C142" s="424" t="s">
        <v>1075</v>
      </c>
      <c r="D142" s="424" t="s">
        <v>1285</v>
      </c>
      <c r="E142" s="424" t="s">
        <v>1367</v>
      </c>
      <c r="F142" s="95" t="s">
        <v>552</v>
      </c>
      <c r="G142" s="423">
        <v>4</v>
      </c>
      <c r="N142" s="20"/>
      <c r="R142" s="2">
        <v>4</v>
      </c>
      <c r="V142" s="2"/>
    </row>
    <row r="143" spans="1:22" x14ac:dyDescent="0.3">
      <c r="A143" s="2" t="s">
        <v>1018</v>
      </c>
      <c r="B143" s="424" t="s">
        <v>1119</v>
      </c>
      <c r="C143" s="424" t="s">
        <v>1122</v>
      </c>
      <c r="D143" s="424" t="s">
        <v>1286</v>
      </c>
      <c r="E143" s="424" t="s">
        <v>1367</v>
      </c>
      <c r="F143" s="95" t="s">
        <v>552</v>
      </c>
      <c r="G143" s="423">
        <v>4</v>
      </c>
      <c r="N143" s="20"/>
      <c r="V143" s="2"/>
    </row>
    <row r="144" spans="1:22" x14ac:dyDescent="0.3">
      <c r="A144" s="2" t="s">
        <v>1018</v>
      </c>
      <c r="B144" s="424" t="s">
        <v>1119</v>
      </c>
      <c r="C144" s="424" t="s">
        <v>1123</v>
      </c>
      <c r="D144" s="424" t="s">
        <v>1287</v>
      </c>
      <c r="E144" s="424" t="s">
        <v>1367</v>
      </c>
      <c r="F144" s="95" t="s">
        <v>552</v>
      </c>
      <c r="G144" s="423">
        <v>4</v>
      </c>
      <c r="N144" s="20"/>
      <c r="V144" s="2"/>
    </row>
    <row r="145" spans="1:21" s="2" customFormat="1" x14ac:dyDescent="0.3">
      <c r="A145" s="2" t="s">
        <v>1018</v>
      </c>
      <c r="B145" s="424" t="s">
        <v>1119</v>
      </c>
      <c r="C145" s="424" t="s">
        <v>1124</v>
      </c>
      <c r="D145" s="424" t="s">
        <v>1288</v>
      </c>
      <c r="E145" s="424" t="s">
        <v>1367</v>
      </c>
      <c r="F145" s="95" t="s">
        <v>552</v>
      </c>
      <c r="G145" s="423">
        <v>4</v>
      </c>
      <c r="H145" s="20"/>
      <c r="I145" s="20"/>
      <c r="J145" s="20"/>
      <c r="N145" s="20"/>
      <c r="R145" s="2">
        <v>4</v>
      </c>
    </row>
    <row r="146" spans="1:21" s="2" customFormat="1" x14ac:dyDescent="0.3">
      <c r="A146" s="2" t="s">
        <v>1018</v>
      </c>
      <c r="B146" s="424" t="s">
        <v>1119</v>
      </c>
      <c r="C146" s="424" t="s">
        <v>1125</v>
      </c>
      <c r="D146" s="424" t="s">
        <v>1289</v>
      </c>
      <c r="E146" s="424" t="s">
        <v>1367</v>
      </c>
      <c r="F146" s="95" t="s">
        <v>552</v>
      </c>
      <c r="G146" s="423">
        <v>4</v>
      </c>
      <c r="H146" s="20"/>
      <c r="I146" s="20"/>
      <c r="J146" s="20"/>
      <c r="N146" s="20"/>
    </row>
    <row r="147" spans="1:21" s="2" customFormat="1" x14ac:dyDescent="0.3">
      <c r="A147" s="2" t="s">
        <v>1018</v>
      </c>
      <c r="B147" s="424" t="s">
        <v>1119</v>
      </c>
      <c r="C147" s="424" t="s">
        <v>1126</v>
      </c>
      <c r="D147" s="424" t="s">
        <v>1290</v>
      </c>
      <c r="E147" s="424" t="s">
        <v>1367</v>
      </c>
      <c r="F147" s="95" t="s">
        <v>552</v>
      </c>
      <c r="G147" s="423">
        <v>4</v>
      </c>
      <c r="H147" s="20"/>
      <c r="I147" s="20"/>
      <c r="J147" s="20"/>
      <c r="N147" s="20"/>
    </row>
    <row r="148" spans="1:21" s="2" customFormat="1" x14ac:dyDescent="0.3">
      <c r="A148" s="2" t="s">
        <v>1018</v>
      </c>
      <c r="B148" s="424" t="s">
        <v>1119</v>
      </c>
      <c r="C148" s="424" t="s">
        <v>1127</v>
      </c>
      <c r="D148" s="424" t="s">
        <v>1291</v>
      </c>
      <c r="E148" s="424" t="s">
        <v>1367</v>
      </c>
      <c r="F148" s="95" t="s">
        <v>552</v>
      </c>
      <c r="G148" s="423">
        <v>4</v>
      </c>
      <c r="H148" s="20"/>
      <c r="I148" s="20"/>
      <c r="J148" s="20"/>
      <c r="N148" s="20"/>
    </row>
    <row r="149" spans="1:21" s="2" customFormat="1" x14ac:dyDescent="0.3">
      <c r="A149" s="2" t="s">
        <v>1018</v>
      </c>
      <c r="B149" s="424" t="s">
        <v>1119</v>
      </c>
      <c r="C149" s="424" t="s">
        <v>1128</v>
      </c>
      <c r="D149" s="424" t="s">
        <v>1292</v>
      </c>
      <c r="E149" s="424" t="s">
        <v>1367</v>
      </c>
      <c r="F149" s="95" t="s">
        <v>552</v>
      </c>
      <c r="G149" s="423">
        <v>4</v>
      </c>
      <c r="H149" s="20"/>
      <c r="I149" s="20"/>
      <c r="J149" s="20"/>
      <c r="N149" s="20"/>
    </row>
    <row r="150" spans="1:21" s="2" customFormat="1" x14ac:dyDescent="0.3">
      <c r="A150" s="2" t="s">
        <v>1018</v>
      </c>
      <c r="B150" s="424" t="s">
        <v>1119</v>
      </c>
      <c r="C150" s="424" t="s">
        <v>1129</v>
      </c>
      <c r="D150" s="424" t="s">
        <v>961</v>
      </c>
      <c r="E150" s="424" t="s">
        <v>1367</v>
      </c>
      <c r="F150" s="95" t="s">
        <v>552</v>
      </c>
      <c r="G150" s="423">
        <v>4</v>
      </c>
      <c r="H150" s="20"/>
      <c r="I150" s="20"/>
      <c r="J150" s="20"/>
      <c r="N150" s="20"/>
    </row>
    <row r="151" spans="1:21" s="2" customFormat="1" x14ac:dyDescent="0.3">
      <c r="A151" s="2" t="s">
        <v>1018</v>
      </c>
      <c r="B151" s="510" t="s">
        <v>1119</v>
      </c>
      <c r="C151" s="424" t="s">
        <v>1130</v>
      </c>
      <c r="D151" s="424" t="s">
        <v>1293</v>
      </c>
      <c r="E151" s="424" t="s">
        <v>1367</v>
      </c>
      <c r="F151" s="95" t="s">
        <v>552</v>
      </c>
      <c r="G151" s="423">
        <v>4</v>
      </c>
      <c r="H151" s="20"/>
      <c r="I151" s="20"/>
      <c r="J151" s="20"/>
      <c r="N151" s="20"/>
      <c r="U151" s="2">
        <v>4</v>
      </c>
    </row>
    <row r="152" spans="1:21" s="2" customFormat="1" x14ac:dyDescent="0.3">
      <c r="A152" s="2" t="s">
        <v>1018</v>
      </c>
      <c r="B152" s="424" t="s">
        <v>1119</v>
      </c>
      <c r="C152" s="424" t="s">
        <v>1131</v>
      </c>
      <c r="D152" s="424" t="s">
        <v>1294</v>
      </c>
      <c r="E152" s="424" t="s">
        <v>1367</v>
      </c>
      <c r="F152" s="95" t="s">
        <v>552</v>
      </c>
      <c r="G152" s="423">
        <v>4</v>
      </c>
      <c r="H152" s="20"/>
      <c r="I152" s="20"/>
      <c r="J152" s="20"/>
      <c r="N152" s="20"/>
      <c r="R152" s="2">
        <v>4</v>
      </c>
    </row>
    <row r="153" spans="1:21" s="2" customFormat="1" x14ac:dyDescent="0.3">
      <c r="A153" s="2" t="s">
        <v>1018</v>
      </c>
      <c r="B153" s="510" t="s">
        <v>1119</v>
      </c>
      <c r="C153" s="424" t="s">
        <v>1132</v>
      </c>
      <c r="D153" s="424" t="s">
        <v>1295</v>
      </c>
      <c r="E153" s="424" t="s">
        <v>1367</v>
      </c>
      <c r="F153" s="95" t="s">
        <v>552</v>
      </c>
      <c r="G153" s="423">
        <v>4</v>
      </c>
      <c r="H153" s="20"/>
      <c r="I153" s="20"/>
      <c r="J153" s="20"/>
      <c r="N153" s="20"/>
      <c r="U153" s="2">
        <v>4</v>
      </c>
    </row>
    <row r="154" spans="1:21" s="2" customFormat="1" x14ac:dyDescent="0.3">
      <c r="A154" s="2" t="s">
        <v>1018</v>
      </c>
      <c r="B154" s="510" t="s">
        <v>1119</v>
      </c>
      <c r="C154" s="424" t="s">
        <v>1133</v>
      </c>
      <c r="D154" s="424" t="s">
        <v>1296</v>
      </c>
      <c r="E154" s="424" t="s">
        <v>1367</v>
      </c>
      <c r="F154" s="95" t="s">
        <v>552</v>
      </c>
      <c r="G154" s="423">
        <v>4</v>
      </c>
      <c r="H154" s="20"/>
      <c r="I154" s="20"/>
      <c r="J154" s="20"/>
      <c r="N154" s="20"/>
      <c r="U154" s="2">
        <v>4</v>
      </c>
    </row>
    <row r="155" spans="1:21" s="2" customFormat="1" x14ac:dyDescent="0.3">
      <c r="A155" s="95" t="s">
        <v>1018</v>
      </c>
      <c r="B155" s="510" t="s">
        <v>1119</v>
      </c>
      <c r="C155" s="424" t="s">
        <v>1134</v>
      </c>
      <c r="D155" s="424" t="s">
        <v>1297</v>
      </c>
      <c r="E155" s="424" t="s">
        <v>1367</v>
      </c>
      <c r="F155" s="95" t="s">
        <v>552</v>
      </c>
      <c r="G155" s="423">
        <v>4</v>
      </c>
      <c r="H155" s="20"/>
      <c r="I155" s="20"/>
      <c r="J155" s="20"/>
      <c r="N155" s="20"/>
      <c r="U155" s="2">
        <v>4</v>
      </c>
    </row>
    <row r="156" spans="1:21" s="2" customFormat="1" x14ac:dyDescent="0.3">
      <c r="A156" s="95" t="s">
        <v>1018</v>
      </c>
      <c r="B156" s="424" t="s">
        <v>1135</v>
      </c>
      <c r="C156" s="424" t="s">
        <v>1022</v>
      </c>
      <c r="D156" s="424" t="s">
        <v>1298</v>
      </c>
      <c r="E156" s="422" t="s">
        <v>1341</v>
      </c>
      <c r="F156" s="95" t="s">
        <v>552</v>
      </c>
      <c r="G156" s="423">
        <v>0</v>
      </c>
      <c r="J156" s="20"/>
    </row>
    <row r="157" spans="1:21" s="2" customFormat="1" x14ac:dyDescent="0.3">
      <c r="A157" s="95" t="s">
        <v>1018</v>
      </c>
      <c r="B157" s="424" t="s">
        <v>1135</v>
      </c>
      <c r="C157" s="424" t="s">
        <v>1022</v>
      </c>
      <c r="D157" s="424" t="s">
        <v>1298</v>
      </c>
      <c r="E157" s="422" t="s">
        <v>1360</v>
      </c>
      <c r="F157" s="95" t="s">
        <v>552</v>
      </c>
      <c r="G157" s="423">
        <v>0</v>
      </c>
      <c r="J157" s="20"/>
    </row>
    <row r="158" spans="1:21" s="2" customFormat="1" x14ac:dyDescent="0.3">
      <c r="A158" s="95" t="s">
        <v>1018</v>
      </c>
      <c r="B158" s="424" t="s">
        <v>1135</v>
      </c>
      <c r="C158" s="424" t="s">
        <v>1022</v>
      </c>
      <c r="D158" s="424" t="s">
        <v>1298</v>
      </c>
      <c r="E158" s="422" t="s">
        <v>1361</v>
      </c>
      <c r="F158" s="95" t="s">
        <v>552</v>
      </c>
      <c r="G158" s="423">
        <v>0</v>
      </c>
      <c r="J158" s="20"/>
    </row>
    <row r="159" spans="1:21" s="2" customFormat="1" x14ac:dyDescent="0.3">
      <c r="A159" s="95" t="s">
        <v>1018</v>
      </c>
      <c r="B159" s="424" t="s">
        <v>1135</v>
      </c>
      <c r="C159" s="424" t="s">
        <v>1022</v>
      </c>
      <c r="D159" s="424" t="s">
        <v>1299</v>
      </c>
      <c r="E159" s="422" t="s">
        <v>1362</v>
      </c>
      <c r="F159" s="95" t="s">
        <v>552</v>
      </c>
      <c r="G159" s="423">
        <v>0</v>
      </c>
      <c r="J159" s="20"/>
    </row>
    <row r="160" spans="1:21" s="2" customFormat="1" x14ac:dyDescent="0.3">
      <c r="A160" s="95" t="s">
        <v>1018</v>
      </c>
      <c r="B160" s="424" t="s">
        <v>1135</v>
      </c>
      <c r="C160" s="424" t="s">
        <v>1022</v>
      </c>
      <c r="D160" s="424" t="s">
        <v>1299</v>
      </c>
      <c r="E160" s="422" t="s">
        <v>1358</v>
      </c>
      <c r="F160" s="95" t="s">
        <v>552</v>
      </c>
      <c r="G160" s="423">
        <v>0</v>
      </c>
      <c r="J160" s="20"/>
    </row>
    <row r="161" spans="1:10" s="2" customFormat="1" x14ac:dyDescent="0.3">
      <c r="A161" s="95" t="s">
        <v>1018</v>
      </c>
      <c r="B161" s="424" t="s">
        <v>1135</v>
      </c>
      <c r="C161" s="424" t="s">
        <v>1136</v>
      </c>
      <c r="D161" s="424" t="s">
        <v>1300</v>
      </c>
      <c r="E161" s="424" t="s">
        <v>1367</v>
      </c>
      <c r="F161" s="95" t="s">
        <v>552</v>
      </c>
      <c r="G161" s="423">
        <v>0</v>
      </c>
      <c r="J161" s="20"/>
    </row>
    <row r="162" spans="1:10" s="2" customFormat="1" x14ac:dyDescent="0.3">
      <c r="A162" s="95" t="s">
        <v>1018</v>
      </c>
      <c r="B162" s="424" t="s">
        <v>1135</v>
      </c>
      <c r="C162" s="424" t="s">
        <v>1137</v>
      </c>
      <c r="D162" s="424" t="s">
        <v>1301</v>
      </c>
      <c r="E162" s="424" t="s">
        <v>1367</v>
      </c>
      <c r="F162" s="95" t="s">
        <v>552</v>
      </c>
      <c r="G162" s="423">
        <v>0</v>
      </c>
      <c r="J162" s="20"/>
    </row>
    <row r="163" spans="1:10" s="2" customFormat="1" x14ac:dyDescent="0.3">
      <c r="A163" s="95" t="s">
        <v>1018</v>
      </c>
      <c r="B163" s="424" t="s">
        <v>1135</v>
      </c>
      <c r="C163" s="424" t="s">
        <v>1075</v>
      </c>
      <c r="D163" s="424" t="s">
        <v>1302</v>
      </c>
      <c r="E163" s="424" t="s">
        <v>1367</v>
      </c>
      <c r="F163" s="95" t="s">
        <v>552</v>
      </c>
      <c r="G163" s="423">
        <v>0</v>
      </c>
      <c r="J163" s="20"/>
    </row>
    <row r="164" spans="1:10" s="2" customFormat="1" x14ac:dyDescent="0.3">
      <c r="A164" s="95" t="s">
        <v>1018</v>
      </c>
      <c r="B164" s="424" t="s">
        <v>1135</v>
      </c>
      <c r="C164" s="424" t="s">
        <v>1076</v>
      </c>
      <c r="D164" s="424" t="s">
        <v>1303</v>
      </c>
      <c r="E164" s="424" t="s">
        <v>1367</v>
      </c>
      <c r="F164" s="95" t="s">
        <v>552</v>
      </c>
      <c r="G164" s="423">
        <v>0</v>
      </c>
      <c r="J164" s="20"/>
    </row>
    <row r="165" spans="1:10" s="2" customFormat="1" x14ac:dyDescent="0.3">
      <c r="A165" s="95" t="s">
        <v>1018</v>
      </c>
      <c r="B165" s="424" t="s">
        <v>1135</v>
      </c>
      <c r="C165" s="424" t="s">
        <v>1077</v>
      </c>
      <c r="D165" s="424" t="s">
        <v>1304</v>
      </c>
      <c r="E165" s="424" t="s">
        <v>1367</v>
      </c>
      <c r="F165" s="95" t="s">
        <v>552</v>
      </c>
      <c r="G165" s="423">
        <v>0</v>
      </c>
      <c r="J165" s="20"/>
    </row>
    <row r="166" spans="1:10" s="2" customFormat="1" x14ac:dyDescent="0.3">
      <c r="A166" s="95" t="s">
        <v>1018</v>
      </c>
      <c r="B166" s="424" t="s">
        <v>1135</v>
      </c>
      <c r="C166" s="424" t="s">
        <v>1078</v>
      </c>
      <c r="D166" s="424" t="s">
        <v>1305</v>
      </c>
      <c r="E166" s="424" t="s">
        <v>1367</v>
      </c>
      <c r="F166" s="95" t="s">
        <v>552</v>
      </c>
      <c r="G166" s="423">
        <v>0</v>
      </c>
      <c r="J166" s="20"/>
    </row>
    <row r="167" spans="1:10" s="2" customFormat="1" x14ac:dyDescent="0.3">
      <c r="A167" s="95" t="s">
        <v>1018</v>
      </c>
      <c r="B167" s="424" t="s">
        <v>1135</v>
      </c>
      <c r="C167" s="424" t="s">
        <v>1079</v>
      </c>
      <c r="D167" s="424" t="s">
        <v>1306</v>
      </c>
      <c r="E167" s="424" t="s">
        <v>1367</v>
      </c>
      <c r="F167" s="95" t="s">
        <v>552</v>
      </c>
      <c r="G167" s="423">
        <v>0</v>
      </c>
      <c r="J167" s="20"/>
    </row>
    <row r="168" spans="1:10" s="2" customFormat="1" x14ac:dyDescent="0.3">
      <c r="A168" s="95" t="s">
        <v>1018</v>
      </c>
      <c r="B168" s="424" t="s">
        <v>1135</v>
      </c>
      <c r="C168" s="424" t="s">
        <v>1080</v>
      </c>
      <c r="D168" s="424" t="s">
        <v>1307</v>
      </c>
      <c r="E168" s="424" t="s">
        <v>1367</v>
      </c>
      <c r="F168" s="95" t="s">
        <v>552</v>
      </c>
      <c r="G168" s="423">
        <v>0</v>
      </c>
      <c r="J168" s="20"/>
    </row>
    <row r="169" spans="1:10" s="2" customFormat="1" x14ac:dyDescent="0.3">
      <c r="A169" s="95" t="s">
        <v>1018</v>
      </c>
      <c r="B169" s="424" t="s">
        <v>1135</v>
      </c>
      <c r="C169" s="424" t="s">
        <v>1127</v>
      </c>
      <c r="D169" s="424" t="s">
        <v>1308</v>
      </c>
      <c r="E169" s="424" t="s">
        <v>1367</v>
      </c>
      <c r="F169" s="95" t="s">
        <v>552</v>
      </c>
      <c r="G169" s="423">
        <v>0</v>
      </c>
      <c r="J169" s="20"/>
    </row>
    <row r="170" spans="1:10" s="2" customFormat="1" x14ac:dyDescent="0.3">
      <c r="A170" s="95" t="s">
        <v>1018</v>
      </c>
      <c r="B170" s="424" t="s">
        <v>1135</v>
      </c>
      <c r="C170" s="424" t="s">
        <v>1081</v>
      </c>
      <c r="D170" s="424" t="s">
        <v>1309</v>
      </c>
      <c r="E170" s="424" t="s">
        <v>1367</v>
      </c>
      <c r="F170" s="95" t="s">
        <v>552</v>
      </c>
      <c r="G170" s="423">
        <v>0</v>
      </c>
      <c r="J170" s="20"/>
    </row>
    <row r="171" spans="1:10" s="2" customFormat="1" x14ac:dyDescent="0.3">
      <c r="A171" s="95" t="s">
        <v>1018</v>
      </c>
      <c r="B171" s="424" t="s">
        <v>1135</v>
      </c>
      <c r="C171" s="424" t="s">
        <v>1082</v>
      </c>
      <c r="D171" s="424" t="s">
        <v>1310</v>
      </c>
      <c r="E171" s="424" t="s">
        <v>1367</v>
      </c>
      <c r="F171" s="95" t="s">
        <v>552</v>
      </c>
      <c r="G171" s="423">
        <v>0</v>
      </c>
      <c r="J171" s="20"/>
    </row>
    <row r="172" spans="1:10" s="2" customFormat="1" x14ac:dyDescent="0.3">
      <c r="A172" s="95" t="s">
        <v>1018</v>
      </c>
      <c r="B172" s="424" t="s">
        <v>1135</v>
      </c>
      <c r="C172" s="424" t="s">
        <v>1083</v>
      </c>
      <c r="D172" s="424" t="s">
        <v>1311</v>
      </c>
      <c r="E172" s="424" t="s">
        <v>1367</v>
      </c>
      <c r="F172" s="95" t="s">
        <v>552</v>
      </c>
      <c r="G172" s="423">
        <v>0</v>
      </c>
      <c r="J172" s="20"/>
    </row>
    <row r="173" spans="1:10" s="2" customFormat="1" x14ac:dyDescent="0.3">
      <c r="A173" s="95" t="s">
        <v>1018</v>
      </c>
      <c r="B173" s="424" t="s">
        <v>1135</v>
      </c>
      <c r="C173" s="424" t="s">
        <v>1084</v>
      </c>
      <c r="D173" s="424" t="s">
        <v>1312</v>
      </c>
      <c r="E173" s="424" t="s">
        <v>1367</v>
      </c>
      <c r="F173" s="95" t="s">
        <v>552</v>
      </c>
      <c r="G173" s="423">
        <v>0</v>
      </c>
      <c r="J173" s="20"/>
    </row>
    <row r="174" spans="1:10" s="2" customFormat="1" x14ac:dyDescent="0.3">
      <c r="A174" s="95" t="s">
        <v>1018</v>
      </c>
      <c r="B174" s="424" t="s">
        <v>1135</v>
      </c>
      <c r="C174" s="424" t="s">
        <v>1085</v>
      </c>
      <c r="D174" s="424" t="s">
        <v>1313</v>
      </c>
      <c r="E174" s="424" t="s">
        <v>1367</v>
      </c>
      <c r="F174" s="95" t="s">
        <v>552</v>
      </c>
      <c r="G174" s="423">
        <v>0</v>
      </c>
      <c r="J174" s="20"/>
    </row>
    <row r="175" spans="1:10" s="2" customFormat="1" x14ac:dyDescent="0.3">
      <c r="A175" s="95" t="s">
        <v>1018</v>
      </c>
      <c r="B175" s="424" t="s">
        <v>1135</v>
      </c>
      <c r="C175" s="424" t="s">
        <v>1086</v>
      </c>
      <c r="D175" s="424" t="s">
        <v>1314</v>
      </c>
      <c r="E175" s="424" t="s">
        <v>1367</v>
      </c>
      <c r="F175" s="95" t="s">
        <v>552</v>
      </c>
      <c r="G175" s="423">
        <v>0</v>
      </c>
      <c r="J175" s="20"/>
    </row>
    <row r="176" spans="1:10" s="2" customFormat="1" x14ac:dyDescent="0.3">
      <c r="A176" s="95" t="s">
        <v>1018</v>
      </c>
      <c r="B176" s="424" t="s">
        <v>1135</v>
      </c>
      <c r="C176" s="424" t="s">
        <v>1087</v>
      </c>
      <c r="D176" s="424" t="s">
        <v>1315</v>
      </c>
      <c r="E176" s="424" t="s">
        <v>1367</v>
      </c>
      <c r="F176" s="95" t="s">
        <v>552</v>
      </c>
      <c r="G176" s="423">
        <v>0</v>
      </c>
      <c r="J176" s="20"/>
    </row>
    <row r="177" spans="1:22" x14ac:dyDescent="0.3">
      <c r="A177" s="95" t="s">
        <v>1018</v>
      </c>
      <c r="B177" s="424" t="s">
        <v>1135</v>
      </c>
      <c r="C177" s="424" t="s">
        <v>1088</v>
      </c>
      <c r="D177" s="424" t="s">
        <v>1316</v>
      </c>
      <c r="E177" s="424" t="s">
        <v>1367</v>
      </c>
      <c r="F177" s="95" t="s">
        <v>552</v>
      </c>
      <c r="G177" s="423">
        <v>0</v>
      </c>
      <c r="H177" s="2"/>
      <c r="I177" s="2"/>
      <c r="N177" s="2"/>
      <c r="V177" s="2"/>
    </row>
    <row r="178" spans="1:22" x14ac:dyDescent="0.3">
      <c r="A178" s="95" t="s">
        <v>1018</v>
      </c>
      <c r="B178" s="424" t="s">
        <v>1135</v>
      </c>
      <c r="C178" s="424" t="s">
        <v>1089</v>
      </c>
      <c r="D178" s="424" t="s">
        <v>1317</v>
      </c>
      <c r="E178" s="424" t="s">
        <v>1367</v>
      </c>
      <c r="F178" s="95" t="s">
        <v>552</v>
      </c>
      <c r="G178" s="423">
        <v>0</v>
      </c>
      <c r="H178" s="2"/>
      <c r="I178" s="2"/>
      <c r="N178" s="2"/>
      <c r="V178" s="2"/>
    </row>
    <row r="179" spans="1:22" x14ac:dyDescent="0.3">
      <c r="A179" s="95" t="s">
        <v>1018</v>
      </c>
      <c r="B179" s="424" t="s">
        <v>1135</v>
      </c>
      <c r="C179" s="424" t="s">
        <v>1090</v>
      </c>
      <c r="D179" s="424" t="s">
        <v>1318</v>
      </c>
      <c r="E179" s="424" t="s">
        <v>1367</v>
      </c>
      <c r="F179" s="95" t="s">
        <v>552</v>
      </c>
      <c r="G179" s="423">
        <v>0</v>
      </c>
      <c r="H179" s="2"/>
      <c r="I179" s="2"/>
      <c r="N179" s="2"/>
      <c r="V179" s="2"/>
    </row>
    <row r="180" spans="1:22" x14ac:dyDescent="0.3">
      <c r="A180" s="95" t="s">
        <v>1018</v>
      </c>
      <c r="B180" s="424" t="s">
        <v>1135</v>
      </c>
      <c r="C180" s="424" t="s">
        <v>1091</v>
      </c>
      <c r="D180" s="424" t="s">
        <v>1319</v>
      </c>
      <c r="E180" s="424" t="s">
        <v>1367</v>
      </c>
      <c r="F180" s="95" t="s">
        <v>552</v>
      </c>
      <c r="G180" s="423">
        <v>0</v>
      </c>
      <c r="H180" s="2"/>
      <c r="I180" s="2"/>
      <c r="N180" s="2"/>
      <c r="V180" s="2"/>
    </row>
    <row r="181" spans="1:22" x14ac:dyDescent="0.3">
      <c r="A181" s="95" t="s">
        <v>1018</v>
      </c>
      <c r="B181" s="424" t="s">
        <v>1135</v>
      </c>
      <c r="C181" s="424" t="s">
        <v>1092</v>
      </c>
      <c r="D181" s="424" t="s">
        <v>1320</v>
      </c>
      <c r="E181" s="424" t="s">
        <v>1367</v>
      </c>
      <c r="F181" s="95" t="s">
        <v>552</v>
      </c>
      <c r="G181" s="423">
        <v>0</v>
      </c>
      <c r="H181" s="2"/>
      <c r="I181" s="2"/>
      <c r="N181" s="2"/>
      <c r="V181" s="2"/>
    </row>
    <row r="182" spans="1:22" x14ac:dyDescent="0.3">
      <c r="A182" s="95" t="s">
        <v>1018</v>
      </c>
      <c r="B182" s="424" t="s">
        <v>1135</v>
      </c>
      <c r="C182" s="424" t="s">
        <v>1093</v>
      </c>
      <c r="D182" s="424" t="s">
        <v>1321</v>
      </c>
      <c r="E182" s="424" t="s">
        <v>1367</v>
      </c>
      <c r="F182" s="95" t="s">
        <v>552</v>
      </c>
      <c r="G182" s="423">
        <v>0</v>
      </c>
      <c r="H182" s="2"/>
      <c r="I182" s="2"/>
      <c r="N182" s="2"/>
      <c r="V182" s="2"/>
    </row>
    <row r="183" spans="1:22" x14ac:dyDescent="0.3">
      <c r="A183" s="95" t="s">
        <v>1018</v>
      </c>
      <c r="B183" s="424" t="s">
        <v>1135</v>
      </c>
      <c r="C183" s="424" t="s">
        <v>1094</v>
      </c>
      <c r="D183" s="424" t="s">
        <v>1322</v>
      </c>
      <c r="E183" s="424" t="s">
        <v>1367</v>
      </c>
      <c r="F183" s="95" t="s">
        <v>552</v>
      </c>
      <c r="G183" s="423">
        <v>0</v>
      </c>
      <c r="H183" s="2"/>
      <c r="I183" s="2"/>
      <c r="N183" s="2"/>
      <c r="V183" s="2"/>
    </row>
    <row r="184" spans="1:22" x14ac:dyDescent="0.3">
      <c r="A184" s="95" t="s">
        <v>1018</v>
      </c>
      <c r="B184" s="424" t="s">
        <v>1135</v>
      </c>
      <c r="C184" s="424" t="s">
        <v>1095</v>
      </c>
      <c r="D184" s="424" t="s">
        <v>1454</v>
      </c>
      <c r="E184" s="424" t="s">
        <v>1367</v>
      </c>
      <c r="F184" s="95" t="s">
        <v>552</v>
      </c>
      <c r="G184" s="423">
        <v>0</v>
      </c>
      <c r="H184" s="2"/>
      <c r="I184" s="2"/>
      <c r="N184" s="2"/>
      <c r="V184" s="2"/>
    </row>
    <row r="185" spans="1:22" x14ac:dyDescent="0.3">
      <c r="A185" s="95" t="s">
        <v>1018</v>
      </c>
      <c r="B185" s="424" t="s">
        <v>1020</v>
      </c>
      <c r="C185" s="424" t="s">
        <v>1138</v>
      </c>
      <c r="D185" s="424" t="s">
        <v>1323</v>
      </c>
      <c r="E185" s="422" t="s">
        <v>1342</v>
      </c>
      <c r="F185" s="95" t="s">
        <v>552</v>
      </c>
      <c r="H185" s="2"/>
      <c r="I185" s="2"/>
      <c r="N185" s="2"/>
      <c r="V185" s="2"/>
    </row>
    <row r="186" spans="1:22" x14ac:dyDescent="0.3">
      <c r="A186" s="95" t="s">
        <v>1018</v>
      </c>
      <c r="B186" s="424" t="s">
        <v>1020</v>
      </c>
      <c r="C186" s="424" t="s">
        <v>1138</v>
      </c>
      <c r="D186" s="424" t="s">
        <v>1323</v>
      </c>
      <c r="E186" s="424" t="s">
        <v>1367</v>
      </c>
      <c r="F186" s="95" t="s">
        <v>552</v>
      </c>
      <c r="G186" s="423">
        <v>4</v>
      </c>
      <c r="N186" s="20"/>
      <c r="V186" s="2"/>
    </row>
    <row r="187" spans="1:22" x14ac:dyDescent="0.3">
      <c r="A187" s="95" t="s">
        <v>1018</v>
      </c>
      <c r="B187" s="510" t="s">
        <v>1020</v>
      </c>
      <c r="C187" s="424" t="s">
        <v>1144</v>
      </c>
      <c r="D187" s="424" t="s">
        <v>795</v>
      </c>
      <c r="E187" s="422" t="s">
        <v>1343</v>
      </c>
      <c r="F187" s="95" t="s">
        <v>552</v>
      </c>
      <c r="G187" s="423">
        <v>1</v>
      </c>
      <c r="H187" s="20">
        <v>1</v>
      </c>
      <c r="I187" s="20">
        <v>1</v>
      </c>
      <c r="J187" s="20">
        <v>1</v>
      </c>
      <c r="K187" s="449">
        <v>1</v>
      </c>
      <c r="L187" s="2">
        <v>1</v>
      </c>
      <c r="M187" s="2">
        <v>1</v>
      </c>
      <c r="N187" s="431">
        <v>1</v>
      </c>
      <c r="O187" s="2">
        <v>1</v>
      </c>
      <c r="P187" s="2">
        <v>1</v>
      </c>
      <c r="Q187" s="2">
        <v>1</v>
      </c>
      <c r="R187" s="2">
        <v>1</v>
      </c>
      <c r="S187" s="20">
        <v>1</v>
      </c>
      <c r="T187" s="2">
        <v>1</v>
      </c>
      <c r="U187" s="2">
        <v>1</v>
      </c>
      <c r="V187" s="431">
        <v>1</v>
      </c>
    </row>
    <row r="188" spans="1:22" x14ac:dyDescent="0.3">
      <c r="A188" s="95" t="s">
        <v>1018</v>
      </c>
      <c r="B188" s="424" t="s">
        <v>1020</v>
      </c>
      <c r="C188" s="424" t="s">
        <v>1144</v>
      </c>
      <c r="D188" s="424" t="s">
        <v>795</v>
      </c>
      <c r="E188" s="424" t="s">
        <v>1367</v>
      </c>
      <c r="F188" s="95" t="s">
        <v>552</v>
      </c>
      <c r="G188" s="423">
        <v>4</v>
      </c>
      <c r="N188" s="20"/>
      <c r="V188" s="2"/>
    </row>
    <row r="189" spans="1:22" x14ac:dyDescent="0.3">
      <c r="A189" s="95" t="s">
        <v>1018</v>
      </c>
      <c r="B189" s="510" t="s">
        <v>1020</v>
      </c>
      <c r="C189" s="424" t="s">
        <v>1024</v>
      </c>
      <c r="D189" s="424" t="s">
        <v>1441</v>
      </c>
      <c r="E189" s="422" t="s">
        <v>1344</v>
      </c>
      <c r="F189" s="95" t="s">
        <v>552</v>
      </c>
      <c r="G189" s="423">
        <v>1</v>
      </c>
      <c r="H189" s="20">
        <v>1</v>
      </c>
      <c r="I189" s="20">
        <v>1</v>
      </c>
      <c r="J189" s="20">
        <v>1</v>
      </c>
      <c r="K189" s="449">
        <v>1</v>
      </c>
      <c r="L189" s="2">
        <v>1</v>
      </c>
      <c r="M189" s="2">
        <v>1</v>
      </c>
      <c r="N189" s="431">
        <v>1</v>
      </c>
      <c r="O189" s="2">
        <v>1</v>
      </c>
      <c r="P189" s="2">
        <v>1</v>
      </c>
      <c r="Q189" s="2">
        <v>1</v>
      </c>
      <c r="R189" s="2">
        <v>1</v>
      </c>
      <c r="S189" s="20">
        <v>1</v>
      </c>
      <c r="T189" s="2">
        <v>1</v>
      </c>
      <c r="U189" s="2">
        <v>1</v>
      </c>
      <c r="V189" s="431">
        <v>1</v>
      </c>
    </row>
    <row r="190" spans="1:22" x14ac:dyDescent="0.3">
      <c r="A190" s="95" t="s">
        <v>1018</v>
      </c>
      <c r="B190" s="510" t="s">
        <v>1020</v>
      </c>
      <c r="C190" s="424" t="s">
        <v>1139</v>
      </c>
      <c r="D190" s="424" t="s">
        <v>661</v>
      </c>
      <c r="E190" s="422" t="s">
        <v>1345</v>
      </c>
      <c r="F190" s="95" t="s">
        <v>552</v>
      </c>
      <c r="G190" s="423">
        <v>1</v>
      </c>
      <c r="H190" s="20">
        <v>1</v>
      </c>
      <c r="I190" s="20">
        <v>1</v>
      </c>
      <c r="J190" s="20">
        <v>1</v>
      </c>
      <c r="K190" s="449">
        <v>1</v>
      </c>
      <c r="L190" s="2">
        <v>1</v>
      </c>
      <c r="M190" s="2">
        <v>1</v>
      </c>
      <c r="N190" s="431">
        <v>1</v>
      </c>
      <c r="O190" s="2">
        <v>1</v>
      </c>
      <c r="P190" s="2">
        <v>1</v>
      </c>
      <c r="Q190" s="2">
        <v>1</v>
      </c>
      <c r="R190" s="2">
        <v>1</v>
      </c>
      <c r="S190" s="20">
        <v>1</v>
      </c>
      <c r="T190" s="2">
        <v>1</v>
      </c>
      <c r="U190" s="2">
        <v>1</v>
      </c>
      <c r="V190" s="431">
        <v>1</v>
      </c>
    </row>
    <row r="191" spans="1:22" x14ac:dyDescent="0.3">
      <c r="A191" s="95" t="s">
        <v>1018</v>
      </c>
      <c r="B191" s="424" t="s">
        <v>1020</v>
      </c>
      <c r="C191" s="424" t="s">
        <v>1140</v>
      </c>
      <c r="D191" s="424" t="s">
        <v>1442</v>
      </c>
      <c r="E191" s="422" t="s">
        <v>1346</v>
      </c>
      <c r="F191" s="95" t="s">
        <v>552</v>
      </c>
      <c r="G191" s="423"/>
      <c r="H191" s="2"/>
      <c r="I191" s="2"/>
      <c r="N191" s="2"/>
      <c r="V191" s="2"/>
    </row>
    <row r="192" spans="1:22" x14ac:dyDescent="0.3">
      <c r="A192" s="95" t="s">
        <v>1018</v>
      </c>
      <c r="B192" s="424" t="s">
        <v>1020</v>
      </c>
      <c r="C192" s="424" t="s">
        <v>1140</v>
      </c>
      <c r="D192" s="424" t="s">
        <v>1442</v>
      </c>
      <c r="E192" s="424" t="s">
        <v>1367</v>
      </c>
      <c r="F192" s="95" t="s">
        <v>552</v>
      </c>
      <c r="G192" s="423">
        <v>4</v>
      </c>
      <c r="N192" s="20"/>
      <c r="V192" s="2"/>
    </row>
    <row r="193" spans="1:22" x14ac:dyDescent="0.3">
      <c r="A193" s="95" t="s">
        <v>1018</v>
      </c>
      <c r="B193" s="510" t="s">
        <v>1020</v>
      </c>
      <c r="C193" s="424" t="s">
        <v>1141</v>
      </c>
      <c r="D193" s="424" t="s">
        <v>717</v>
      </c>
      <c r="E193" s="422" t="s">
        <v>1347</v>
      </c>
      <c r="F193" s="95" t="s">
        <v>552</v>
      </c>
      <c r="G193" s="423">
        <v>1</v>
      </c>
      <c r="H193" s="20">
        <v>1</v>
      </c>
      <c r="I193" s="20">
        <v>1</v>
      </c>
      <c r="J193" s="20">
        <v>1</v>
      </c>
      <c r="K193" s="449">
        <v>1</v>
      </c>
      <c r="L193" s="2">
        <v>1</v>
      </c>
      <c r="M193" s="2">
        <v>1</v>
      </c>
      <c r="N193" s="431">
        <v>1</v>
      </c>
      <c r="O193" s="2">
        <v>1</v>
      </c>
      <c r="P193" s="2">
        <v>1</v>
      </c>
      <c r="Q193" s="2">
        <v>1</v>
      </c>
      <c r="R193" s="2">
        <v>1</v>
      </c>
      <c r="S193" s="20">
        <v>1</v>
      </c>
      <c r="T193" s="2">
        <v>1</v>
      </c>
      <c r="U193" s="2">
        <v>1</v>
      </c>
      <c r="V193" s="431">
        <v>1</v>
      </c>
    </row>
    <row r="194" spans="1:22" x14ac:dyDescent="0.3">
      <c r="A194" s="95" t="s">
        <v>1018</v>
      </c>
      <c r="B194" s="424" t="s">
        <v>1020</v>
      </c>
      <c r="C194" s="424" t="s">
        <v>1141</v>
      </c>
      <c r="D194" s="424" t="s">
        <v>1452</v>
      </c>
      <c r="E194" s="424" t="s">
        <v>1367</v>
      </c>
      <c r="F194" s="95" t="s">
        <v>552</v>
      </c>
      <c r="G194" s="423">
        <v>4</v>
      </c>
      <c r="N194" s="20"/>
      <c r="V194" s="2"/>
    </row>
    <row r="195" spans="1:22" x14ac:dyDescent="0.3">
      <c r="A195" s="95" t="s">
        <v>1018</v>
      </c>
      <c r="B195" s="510" t="s">
        <v>1020</v>
      </c>
      <c r="C195" s="424" t="s">
        <v>1142</v>
      </c>
      <c r="D195" s="424" t="s">
        <v>994</v>
      </c>
      <c r="E195" s="422" t="s">
        <v>1348</v>
      </c>
      <c r="F195" s="95" t="s">
        <v>552</v>
      </c>
      <c r="G195" s="423">
        <v>1</v>
      </c>
      <c r="H195" s="20">
        <v>1</v>
      </c>
      <c r="I195" s="20">
        <v>1</v>
      </c>
      <c r="J195" s="20">
        <v>1</v>
      </c>
      <c r="K195" s="449">
        <v>1</v>
      </c>
      <c r="L195" s="2">
        <v>1</v>
      </c>
      <c r="M195" s="2">
        <v>1</v>
      </c>
      <c r="N195" s="431">
        <v>1</v>
      </c>
      <c r="O195" s="2">
        <v>1</v>
      </c>
      <c r="P195" s="2">
        <v>1</v>
      </c>
      <c r="Q195" s="2">
        <v>1</v>
      </c>
      <c r="R195" s="2">
        <v>1</v>
      </c>
      <c r="S195" s="20">
        <v>1</v>
      </c>
      <c r="T195" s="2">
        <v>1</v>
      </c>
      <c r="U195" s="2">
        <v>1</v>
      </c>
      <c r="V195" s="431">
        <v>1</v>
      </c>
    </row>
    <row r="196" spans="1:22" x14ac:dyDescent="0.3">
      <c r="A196" s="95" t="s">
        <v>1018</v>
      </c>
      <c r="B196" s="424" t="s">
        <v>1020</v>
      </c>
      <c r="C196" s="424" t="s">
        <v>1142</v>
      </c>
      <c r="D196" s="424" t="s">
        <v>1451</v>
      </c>
      <c r="E196" s="424" t="s">
        <v>1367</v>
      </c>
      <c r="F196" s="95" t="s">
        <v>552</v>
      </c>
      <c r="G196" s="423">
        <v>4</v>
      </c>
      <c r="N196" s="20"/>
      <c r="V196" s="2"/>
    </row>
    <row r="197" spans="1:22" x14ac:dyDescent="0.3">
      <c r="A197" s="95" t="s">
        <v>1018</v>
      </c>
      <c r="B197" s="510" t="s">
        <v>1020</v>
      </c>
      <c r="C197" s="424" t="s">
        <v>1143</v>
      </c>
      <c r="D197" s="424" t="s">
        <v>1528</v>
      </c>
      <c r="E197" s="422" t="s">
        <v>1349</v>
      </c>
      <c r="F197" s="95" t="s">
        <v>552</v>
      </c>
      <c r="G197" s="423">
        <v>1</v>
      </c>
      <c r="H197" s="20">
        <v>1</v>
      </c>
      <c r="I197" s="20">
        <v>1</v>
      </c>
      <c r="J197" s="20">
        <v>1</v>
      </c>
      <c r="K197" s="449">
        <v>1</v>
      </c>
      <c r="L197" s="2">
        <v>1</v>
      </c>
      <c r="M197" s="2">
        <v>1</v>
      </c>
      <c r="N197" s="431">
        <v>1</v>
      </c>
      <c r="O197" s="2">
        <v>1</v>
      </c>
      <c r="P197" s="2">
        <v>1</v>
      </c>
      <c r="Q197" s="2">
        <v>1</v>
      </c>
      <c r="R197" s="2">
        <v>1</v>
      </c>
      <c r="S197" s="20">
        <v>1</v>
      </c>
      <c r="T197" s="2">
        <v>1</v>
      </c>
      <c r="U197" s="2">
        <v>1</v>
      </c>
      <c r="V197" s="431">
        <v>1</v>
      </c>
    </row>
    <row r="198" spans="1:22" x14ac:dyDescent="0.3">
      <c r="A198" s="95" t="s">
        <v>1018</v>
      </c>
      <c r="B198" s="424" t="s">
        <v>1020</v>
      </c>
      <c r="C198" s="424" t="s">
        <v>1143</v>
      </c>
      <c r="D198" s="424" t="s">
        <v>1453</v>
      </c>
      <c r="E198" s="424" t="s">
        <v>1367</v>
      </c>
      <c r="F198" s="95" t="s">
        <v>552</v>
      </c>
      <c r="G198" s="423">
        <v>4</v>
      </c>
      <c r="N198" s="20"/>
      <c r="V198" s="2"/>
    </row>
    <row r="199" spans="1:22" x14ac:dyDescent="0.3">
      <c r="A199" s="95" t="s">
        <v>1018</v>
      </c>
      <c r="B199" s="509" t="s">
        <v>1019</v>
      </c>
      <c r="C199" s="424" t="s">
        <v>1022</v>
      </c>
      <c r="D199" s="424" t="s">
        <v>1443</v>
      </c>
      <c r="E199" s="422" t="s">
        <v>1350</v>
      </c>
      <c r="F199" s="95" t="s">
        <v>552</v>
      </c>
      <c r="G199" s="423">
        <v>1</v>
      </c>
      <c r="H199" s="20">
        <v>1</v>
      </c>
      <c r="I199" s="20">
        <v>1</v>
      </c>
      <c r="J199" s="20">
        <v>1</v>
      </c>
      <c r="K199" s="449">
        <v>1</v>
      </c>
      <c r="L199" s="2">
        <v>1</v>
      </c>
      <c r="M199" s="2">
        <v>1</v>
      </c>
      <c r="N199" s="431">
        <v>1</v>
      </c>
      <c r="O199" s="2">
        <v>1</v>
      </c>
      <c r="P199" s="2">
        <v>1</v>
      </c>
      <c r="Q199" s="2">
        <v>1</v>
      </c>
      <c r="R199" s="2">
        <v>1</v>
      </c>
      <c r="S199" s="20">
        <v>1</v>
      </c>
      <c r="T199" s="2">
        <v>1</v>
      </c>
      <c r="U199" s="2">
        <v>1</v>
      </c>
      <c r="V199" s="530">
        <v>1</v>
      </c>
    </row>
    <row r="200" spans="1:22" x14ac:dyDescent="0.3">
      <c r="A200" s="95" t="s">
        <v>1018</v>
      </c>
      <c r="B200" s="509" t="s">
        <v>1019</v>
      </c>
      <c r="C200" s="424" t="s">
        <v>1022</v>
      </c>
      <c r="D200" s="424" t="s">
        <v>1443</v>
      </c>
      <c r="E200" s="422" t="s">
        <v>1497</v>
      </c>
      <c r="F200" s="95" t="s">
        <v>552</v>
      </c>
      <c r="G200" s="423">
        <v>1</v>
      </c>
      <c r="H200" s="20">
        <v>1</v>
      </c>
      <c r="I200" s="20">
        <v>1</v>
      </c>
      <c r="J200" s="20">
        <v>1</v>
      </c>
      <c r="K200" s="449">
        <v>1</v>
      </c>
      <c r="L200" s="2">
        <v>1</v>
      </c>
      <c r="M200" s="2">
        <v>1</v>
      </c>
      <c r="N200" s="431">
        <v>1</v>
      </c>
      <c r="O200" s="2">
        <v>1</v>
      </c>
      <c r="P200" s="2">
        <v>1</v>
      </c>
      <c r="Q200" s="2">
        <v>1</v>
      </c>
      <c r="R200" s="2">
        <v>1</v>
      </c>
      <c r="S200" s="20">
        <v>1</v>
      </c>
      <c r="T200" s="2">
        <v>1</v>
      </c>
      <c r="U200" s="2">
        <v>1</v>
      </c>
      <c r="V200" s="530">
        <v>1</v>
      </c>
    </row>
    <row r="201" spans="1:22" x14ac:dyDescent="0.3">
      <c r="A201" s="95" t="s">
        <v>1018</v>
      </c>
      <c r="B201" s="509" t="s">
        <v>1449</v>
      </c>
      <c r="C201" s="424" t="s">
        <v>1022</v>
      </c>
      <c r="D201" s="424" t="s">
        <v>1448</v>
      </c>
      <c r="E201" s="422" t="s">
        <v>1352</v>
      </c>
      <c r="F201" s="95" t="s">
        <v>552</v>
      </c>
      <c r="G201" s="423">
        <v>1</v>
      </c>
      <c r="H201" s="20">
        <v>1</v>
      </c>
      <c r="I201" s="20">
        <v>1</v>
      </c>
      <c r="J201" s="20">
        <v>1</v>
      </c>
      <c r="K201" s="449">
        <v>1</v>
      </c>
      <c r="L201" s="2">
        <v>1</v>
      </c>
      <c r="M201" s="2">
        <v>1</v>
      </c>
      <c r="N201" s="431">
        <v>1</v>
      </c>
      <c r="O201" s="2">
        <v>1</v>
      </c>
      <c r="P201" s="2">
        <v>1</v>
      </c>
      <c r="Q201" s="2">
        <v>1</v>
      </c>
      <c r="R201" s="2">
        <v>1</v>
      </c>
      <c r="S201" s="20">
        <v>1</v>
      </c>
      <c r="T201" s="2">
        <v>1</v>
      </c>
      <c r="U201" s="2">
        <v>1</v>
      </c>
    </row>
    <row r="202" spans="1:22" x14ac:dyDescent="0.3">
      <c r="A202" s="95" t="s">
        <v>1018</v>
      </c>
      <c r="B202" s="509" t="s">
        <v>1019</v>
      </c>
      <c r="C202" s="424" t="s">
        <v>1022</v>
      </c>
      <c r="D202" s="424" t="s">
        <v>1445</v>
      </c>
      <c r="E202" s="424" t="s">
        <v>1351</v>
      </c>
      <c r="F202" s="95" t="s">
        <v>552</v>
      </c>
      <c r="G202" s="423">
        <v>1</v>
      </c>
      <c r="H202" s="20">
        <v>1</v>
      </c>
      <c r="I202" s="20">
        <v>1</v>
      </c>
      <c r="J202" s="20">
        <v>1</v>
      </c>
      <c r="K202" s="449">
        <v>1</v>
      </c>
      <c r="L202" s="2">
        <v>1</v>
      </c>
      <c r="M202" s="2">
        <v>1</v>
      </c>
      <c r="N202" s="431">
        <v>1</v>
      </c>
      <c r="O202" s="2">
        <v>1</v>
      </c>
      <c r="P202" s="2">
        <v>1</v>
      </c>
      <c r="Q202" s="2">
        <v>1</v>
      </c>
      <c r="R202" s="2">
        <v>1</v>
      </c>
      <c r="S202" s="20">
        <v>1</v>
      </c>
      <c r="T202" s="2">
        <v>1</v>
      </c>
      <c r="U202" s="2">
        <v>1</v>
      </c>
      <c r="V202" s="431">
        <v>1</v>
      </c>
    </row>
    <row r="203" spans="1:22" x14ac:dyDescent="0.3">
      <c r="A203" s="95" t="s">
        <v>1018</v>
      </c>
      <c r="B203" s="509" t="s">
        <v>1019</v>
      </c>
      <c r="C203" s="424" t="s">
        <v>1022</v>
      </c>
      <c r="D203" s="424" t="s">
        <v>1446</v>
      </c>
      <c r="E203" s="424" t="s">
        <v>1353</v>
      </c>
      <c r="F203" s="95" t="s">
        <v>552</v>
      </c>
      <c r="G203" s="423">
        <v>1</v>
      </c>
      <c r="H203" s="20">
        <v>1</v>
      </c>
      <c r="I203" s="20">
        <v>1</v>
      </c>
      <c r="J203" s="20">
        <v>1</v>
      </c>
      <c r="K203" s="449">
        <v>1</v>
      </c>
      <c r="L203" s="2">
        <v>1</v>
      </c>
      <c r="M203" s="2">
        <v>1</v>
      </c>
      <c r="N203" s="431">
        <v>1</v>
      </c>
      <c r="O203" s="2">
        <v>1</v>
      </c>
      <c r="P203" s="2">
        <v>1</v>
      </c>
      <c r="Q203" s="2">
        <v>1</v>
      </c>
      <c r="R203" s="2">
        <v>1</v>
      </c>
      <c r="S203" s="20">
        <v>1</v>
      </c>
      <c r="T203" s="2">
        <v>1</v>
      </c>
      <c r="U203" s="2">
        <v>1</v>
      </c>
      <c r="V203" s="431">
        <v>1</v>
      </c>
    </row>
    <row r="204" spans="1:22" x14ac:dyDescent="0.3">
      <c r="A204" s="95" t="s">
        <v>1018</v>
      </c>
      <c r="B204" s="509" t="s">
        <v>1019</v>
      </c>
      <c r="C204" s="424" t="s">
        <v>1022</v>
      </c>
      <c r="D204" s="424" t="s">
        <v>1447</v>
      </c>
      <c r="E204" s="424" t="s">
        <v>1354</v>
      </c>
      <c r="F204" s="95" t="s">
        <v>552</v>
      </c>
      <c r="G204" s="423">
        <v>1</v>
      </c>
      <c r="H204" s="20">
        <v>1</v>
      </c>
      <c r="I204" s="20">
        <v>1</v>
      </c>
      <c r="J204" s="20">
        <v>1</v>
      </c>
      <c r="K204" s="449">
        <v>1</v>
      </c>
      <c r="L204" s="2">
        <v>1</v>
      </c>
      <c r="M204" s="2">
        <v>1</v>
      </c>
      <c r="N204" s="431">
        <v>1</v>
      </c>
      <c r="O204" s="2">
        <v>1</v>
      </c>
      <c r="P204" s="2">
        <v>1</v>
      </c>
      <c r="Q204" s="2">
        <v>1</v>
      </c>
      <c r="R204" s="2">
        <v>1</v>
      </c>
      <c r="S204" s="20">
        <v>1</v>
      </c>
      <c r="T204" s="2">
        <v>1</v>
      </c>
      <c r="U204" s="2">
        <v>1</v>
      </c>
      <c r="V204" s="431">
        <v>1</v>
      </c>
    </row>
    <row r="205" spans="1:22" x14ac:dyDescent="0.3">
      <c r="A205" s="95" t="s">
        <v>1018</v>
      </c>
      <c r="B205" s="509" t="s">
        <v>1019</v>
      </c>
      <c r="C205" s="424" t="s">
        <v>1022</v>
      </c>
      <c r="D205" s="424" t="s">
        <v>1324</v>
      </c>
      <c r="E205" s="424" t="s">
        <v>1355</v>
      </c>
      <c r="F205" s="95" t="s">
        <v>552</v>
      </c>
      <c r="G205" s="423">
        <v>1</v>
      </c>
      <c r="H205" s="20">
        <v>1</v>
      </c>
      <c r="I205" s="20">
        <v>1</v>
      </c>
      <c r="J205" s="20">
        <v>1</v>
      </c>
      <c r="K205" s="449">
        <v>1</v>
      </c>
      <c r="L205" s="2">
        <v>1</v>
      </c>
      <c r="M205" s="2">
        <v>1</v>
      </c>
      <c r="N205" s="431">
        <v>1</v>
      </c>
      <c r="O205" s="2">
        <v>1</v>
      </c>
      <c r="P205" s="2">
        <v>1</v>
      </c>
      <c r="Q205" s="2">
        <v>1</v>
      </c>
      <c r="R205" s="2">
        <v>1</v>
      </c>
      <c r="S205" s="20">
        <v>1</v>
      </c>
      <c r="T205" s="2">
        <v>1</v>
      </c>
      <c r="U205" s="2">
        <v>1</v>
      </c>
      <c r="V205" s="530">
        <v>1</v>
      </c>
    </row>
    <row r="206" spans="1:22" x14ac:dyDescent="0.3">
      <c r="A206" s="95" t="s">
        <v>1018</v>
      </c>
      <c r="B206" s="509" t="s">
        <v>1019</v>
      </c>
      <c r="C206" s="424" t="s">
        <v>1022</v>
      </c>
      <c r="D206" s="424" t="s">
        <v>617</v>
      </c>
      <c r="E206" s="424" t="s">
        <v>1356</v>
      </c>
      <c r="F206" s="95" t="s">
        <v>552</v>
      </c>
      <c r="G206" s="423">
        <v>1</v>
      </c>
      <c r="H206" s="20">
        <v>1</v>
      </c>
      <c r="I206" s="20">
        <v>1</v>
      </c>
      <c r="J206" s="20">
        <v>1</v>
      </c>
      <c r="K206" s="449">
        <v>1</v>
      </c>
      <c r="L206" s="2">
        <v>1</v>
      </c>
      <c r="M206" s="2">
        <v>1</v>
      </c>
      <c r="N206" s="431">
        <v>1</v>
      </c>
      <c r="O206" s="2">
        <v>1</v>
      </c>
      <c r="P206" s="2">
        <v>1</v>
      </c>
      <c r="Q206" s="2">
        <v>1</v>
      </c>
      <c r="R206" s="2">
        <v>1</v>
      </c>
      <c r="S206" s="20">
        <v>1</v>
      </c>
      <c r="T206" s="2">
        <v>1</v>
      </c>
      <c r="U206" s="2">
        <v>1</v>
      </c>
      <c r="V206" s="431">
        <v>1</v>
      </c>
    </row>
    <row r="207" spans="1:22" x14ac:dyDescent="0.3">
      <c r="B207" s="95"/>
      <c r="C207" s="95"/>
      <c r="D207" s="95"/>
      <c r="E207" s="95"/>
      <c r="F207" s="95"/>
      <c r="G207" s="95"/>
    </row>
    <row r="208" spans="1:22" x14ac:dyDescent="0.3">
      <c r="B208" s="95"/>
      <c r="C208" s="95"/>
      <c r="D208" s="95"/>
      <c r="E208" s="95"/>
      <c r="F208" s="95"/>
      <c r="G208" s="95"/>
    </row>
  </sheetData>
  <autoFilter ref="A1:W206" xr:uid="{00000000-0009-0000-0000-000005000000}"/>
  <phoneticPr fontId="11" type="noConversion"/>
  <printOptions gridLines="1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>
    <oddHeader>&amp;CMensuales Elecrtricos - Enero 2024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77"/>
  <sheetViews>
    <sheetView workbookViewId="0">
      <selection activeCell="B3" sqref="B3"/>
    </sheetView>
  </sheetViews>
  <sheetFormatPr baseColWidth="10" defaultRowHeight="14.5" x14ac:dyDescent="0.35"/>
  <cols>
    <col min="1" max="1" width="17.26953125" customWidth="1"/>
    <col min="2" max="2" width="13.453125" bestFit="1" customWidth="1"/>
    <col min="3" max="3" width="11.1796875" bestFit="1" customWidth="1"/>
    <col min="4" max="4" width="11.54296875" style="107" bestFit="1" customWidth="1"/>
    <col min="5" max="5" width="8.54296875" bestFit="1" customWidth="1"/>
    <col min="6" max="6" width="13" bestFit="1" customWidth="1"/>
    <col min="7" max="7" width="33.81640625" bestFit="1" customWidth="1"/>
    <col min="8" max="8" width="36.453125" bestFit="1" customWidth="1"/>
    <col min="9" max="9" width="11.7265625" bestFit="1" customWidth="1"/>
    <col min="10" max="10" width="30.81640625" bestFit="1" customWidth="1"/>
    <col min="11" max="11" width="13.54296875" bestFit="1" customWidth="1"/>
  </cols>
  <sheetData>
    <row r="1" spans="1:11" x14ac:dyDescent="0.35">
      <c r="A1" s="78" t="s">
        <v>907</v>
      </c>
      <c r="B1" s="76" t="s">
        <v>908</v>
      </c>
      <c r="C1" s="76" t="s">
        <v>898</v>
      </c>
      <c r="D1" s="328" t="s">
        <v>899</v>
      </c>
      <c r="E1" s="76" t="s">
        <v>900</v>
      </c>
      <c r="F1" s="76" t="s">
        <v>901</v>
      </c>
      <c r="G1" s="76" t="s">
        <v>902</v>
      </c>
      <c r="H1" s="78" t="s">
        <v>903</v>
      </c>
      <c r="I1" s="78" t="s">
        <v>904</v>
      </c>
      <c r="J1" s="78" t="s">
        <v>905</v>
      </c>
      <c r="K1" s="78" t="s">
        <v>906</v>
      </c>
    </row>
    <row r="2" spans="1:11" ht="14.5" customHeight="1" x14ac:dyDescent="0.35">
      <c r="A2" s="661" t="s">
        <v>1421</v>
      </c>
      <c r="B2" s="365"/>
      <c r="C2" s="365"/>
      <c r="D2" s="539"/>
      <c r="E2" s="494"/>
      <c r="F2" s="494"/>
      <c r="G2" s="494"/>
      <c r="H2" s="494"/>
      <c r="I2" s="494"/>
      <c r="J2" s="494"/>
      <c r="K2" s="494"/>
    </row>
    <row r="3" spans="1:11" ht="14.5" customHeight="1" x14ac:dyDescent="0.35">
      <c r="A3" s="662"/>
      <c r="B3" s="365"/>
      <c r="C3" s="365"/>
      <c r="D3" s="539"/>
      <c r="E3" s="494"/>
      <c r="F3" s="494"/>
      <c r="G3" s="494"/>
      <c r="H3" s="494"/>
      <c r="I3" s="494"/>
      <c r="J3" s="494"/>
      <c r="K3" s="494"/>
    </row>
    <row r="4" spans="1:11" x14ac:dyDescent="0.35">
      <c r="A4" s="662"/>
      <c r="B4" s="365"/>
      <c r="C4" s="365"/>
      <c r="D4" s="539"/>
      <c r="E4" s="494"/>
      <c r="F4" s="494"/>
      <c r="G4" s="494"/>
      <c r="H4" s="494"/>
      <c r="I4" s="494"/>
      <c r="J4" s="494"/>
      <c r="K4" s="494"/>
    </row>
    <row r="5" spans="1:11" x14ac:dyDescent="0.35">
      <c r="A5" s="662"/>
      <c r="B5" s="365"/>
      <c r="C5" s="365"/>
      <c r="D5" s="539"/>
      <c r="E5" s="494"/>
      <c r="F5" s="494"/>
      <c r="G5" s="494"/>
      <c r="H5" s="494"/>
      <c r="I5" s="494"/>
      <c r="J5" s="494"/>
      <c r="K5" s="494"/>
    </row>
    <row r="6" spans="1:11" x14ac:dyDescent="0.35">
      <c r="A6" s="662"/>
      <c r="B6" s="365"/>
      <c r="C6" s="365"/>
      <c r="D6" s="539"/>
      <c r="E6" s="494"/>
      <c r="F6" s="494"/>
      <c r="G6" s="494"/>
      <c r="H6" s="494"/>
      <c r="I6" s="494"/>
      <c r="J6" s="494"/>
      <c r="K6" s="494"/>
    </row>
    <row r="7" spans="1:11" x14ac:dyDescent="0.35">
      <c r="A7" s="662"/>
      <c r="B7" s="365"/>
      <c r="C7" s="365"/>
      <c r="D7" s="539"/>
      <c r="E7" s="494"/>
      <c r="F7" s="494"/>
      <c r="G7" s="494"/>
      <c r="H7" s="494"/>
      <c r="I7" s="494"/>
      <c r="J7" s="494"/>
      <c r="K7" s="494"/>
    </row>
    <row r="8" spans="1:11" x14ac:dyDescent="0.35">
      <c r="A8" s="662"/>
      <c r="B8" s="365"/>
      <c r="C8" s="365"/>
      <c r="D8" s="539"/>
      <c r="E8" s="494"/>
      <c r="F8" s="494"/>
      <c r="G8" s="494"/>
      <c r="H8" s="494"/>
      <c r="I8" s="494"/>
      <c r="J8" s="494"/>
      <c r="K8" s="494"/>
    </row>
    <row r="9" spans="1:11" x14ac:dyDescent="0.35">
      <c r="A9" s="662"/>
      <c r="B9" s="365"/>
      <c r="C9" s="365"/>
      <c r="D9" s="539"/>
      <c r="E9" s="494"/>
      <c r="F9" s="494"/>
      <c r="G9" s="494"/>
      <c r="H9" s="494"/>
      <c r="I9" s="494"/>
      <c r="J9" s="494"/>
      <c r="K9" s="494"/>
    </row>
    <row r="10" spans="1:11" x14ac:dyDescent="0.35">
      <c r="A10" s="662"/>
      <c r="B10" s="365"/>
      <c r="C10" s="365"/>
      <c r="D10" s="539"/>
      <c r="E10" s="494"/>
      <c r="F10" s="494"/>
      <c r="G10" s="494"/>
      <c r="H10" s="494"/>
      <c r="I10" s="494"/>
      <c r="J10" s="494"/>
      <c r="K10" s="494"/>
    </row>
    <row r="11" spans="1:11" x14ac:dyDescent="0.35">
      <c r="A11" s="662"/>
      <c r="B11" s="365"/>
      <c r="C11" s="365"/>
      <c r="D11" s="539"/>
      <c r="E11" s="494"/>
      <c r="F11" s="494"/>
      <c r="G11" s="494"/>
      <c r="H11" s="494"/>
      <c r="I11" s="494"/>
      <c r="J11" s="494"/>
      <c r="K11" s="494"/>
    </row>
    <row r="12" spans="1:11" x14ac:dyDescent="0.35">
      <c r="A12" s="662"/>
      <c r="B12" s="365"/>
      <c r="C12" s="365"/>
      <c r="D12" s="539"/>
      <c r="E12" s="494"/>
      <c r="F12" s="494"/>
      <c r="G12" s="494"/>
      <c r="H12" s="494"/>
      <c r="I12" s="494"/>
      <c r="J12" s="494"/>
      <c r="K12" s="494"/>
    </row>
    <row r="13" spans="1:11" x14ac:dyDescent="0.35">
      <c r="A13" s="662"/>
      <c r="B13" s="365"/>
      <c r="C13" s="365"/>
      <c r="D13" s="539"/>
      <c r="E13" s="494"/>
      <c r="F13" s="494"/>
      <c r="G13" s="494"/>
      <c r="H13" s="494"/>
      <c r="I13" s="494"/>
      <c r="J13" s="494"/>
      <c r="K13" s="494"/>
    </row>
    <row r="14" spans="1:11" x14ac:dyDescent="0.35">
      <c r="A14" s="662"/>
      <c r="B14" s="365"/>
      <c r="C14" s="365"/>
      <c r="D14" s="539"/>
      <c r="E14" s="494"/>
      <c r="F14" s="494"/>
      <c r="G14" s="494"/>
      <c r="H14" s="494"/>
      <c r="I14" s="494"/>
      <c r="J14" s="494"/>
      <c r="K14" s="494"/>
    </row>
    <row r="15" spans="1:11" x14ac:dyDescent="0.35">
      <c r="A15" s="662"/>
      <c r="B15" s="365"/>
      <c r="C15" s="365"/>
      <c r="D15" s="539"/>
      <c r="E15" s="494"/>
      <c r="F15" s="494"/>
      <c r="G15" s="494"/>
      <c r="H15" s="494"/>
      <c r="I15" s="494"/>
      <c r="J15" s="494"/>
      <c r="K15" s="494"/>
    </row>
    <row r="16" spans="1:11" x14ac:dyDescent="0.35">
      <c r="A16" s="662"/>
      <c r="B16" s="365"/>
      <c r="C16" s="365"/>
      <c r="D16" s="539"/>
      <c r="E16" s="494"/>
      <c r="F16" s="494"/>
      <c r="G16" s="494"/>
      <c r="H16" s="494"/>
      <c r="I16" s="494"/>
      <c r="J16" s="494"/>
      <c r="K16" s="494"/>
    </row>
    <row r="17" spans="1:11" x14ac:dyDescent="0.35">
      <c r="A17" s="662"/>
      <c r="B17" s="365"/>
      <c r="C17" s="365"/>
      <c r="D17" s="539"/>
      <c r="E17" s="494"/>
      <c r="F17" s="494"/>
      <c r="G17" s="494"/>
      <c r="H17" s="494"/>
      <c r="I17" s="494"/>
      <c r="J17" s="494"/>
      <c r="K17" s="494"/>
    </row>
    <row r="18" spans="1:11" x14ac:dyDescent="0.35">
      <c r="A18" s="662"/>
      <c r="B18" s="365"/>
      <c r="C18" s="365"/>
      <c r="D18" s="539"/>
      <c r="E18" s="494"/>
      <c r="F18" s="494"/>
      <c r="G18" s="494"/>
      <c r="H18" s="494"/>
      <c r="I18" s="494"/>
      <c r="J18" s="494"/>
      <c r="K18" s="494"/>
    </row>
    <row r="19" spans="1:11" x14ac:dyDescent="0.35">
      <c r="A19" s="662"/>
      <c r="B19" s="365"/>
      <c r="C19" s="365"/>
      <c r="D19" s="539"/>
      <c r="E19" s="494"/>
      <c r="F19" s="494"/>
      <c r="G19" s="494"/>
      <c r="H19" s="494"/>
      <c r="I19" s="494"/>
      <c r="J19" s="494"/>
      <c r="K19" s="494"/>
    </row>
    <row r="20" spans="1:11" x14ac:dyDescent="0.35">
      <c r="A20" s="662"/>
      <c r="B20" s="365"/>
      <c r="C20" s="365"/>
      <c r="D20" s="539"/>
      <c r="E20" s="494"/>
      <c r="F20" s="494"/>
      <c r="G20" s="494"/>
      <c r="H20" s="494"/>
      <c r="I20" s="494"/>
      <c r="J20" s="494"/>
      <c r="K20" s="494"/>
    </row>
    <row r="21" spans="1:11" x14ac:dyDescent="0.35">
      <c r="A21" s="662"/>
      <c r="B21" s="365"/>
      <c r="C21" s="365"/>
      <c r="D21" s="539"/>
      <c r="E21" s="494"/>
      <c r="F21" s="494"/>
      <c r="G21" s="494"/>
      <c r="H21" s="494"/>
      <c r="I21" s="494"/>
      <c r="J21" s="494"/>
      <c r="K21" s="494"/>
    </row>
    <row r="22" spans="1:11" x14ac:dyDescent="0.35">
      <c r="A22" s="662"/>
      <c r="B22" s="365"/>
      <c r="C22" s="365"/>
      <c r="D22" s="539"/>
      <c r="E22" s="494"/>
      <c r="F22" s="494"/>
      <c r="G22" s="494"/>
      <c r="H22" s="494"/>
      <c r="I22" s="494"/>
      <c r="J22" s="494"/>
      <c r="K22" s="494"/>
    </row>
    <row r="23" spans="1:11" x14ac:dyDescent="0.35">
      <c r="A23" s="662"/>
      <c r="B23" s="365"/>
      <c r="C23" s="365"/>
      <c r="D23" s="539"/>
      <c r="E23" s="494"/>
      <c r="F23" s="494"/>
      <c r="G23" s="494"/>
      <c r="H23" s="494"/>
      <c r="I23" s="494"/>
      <c r="J23" s="494"/>
      <c r="K23" s="494"/>
    </row>
    <row r="24" spans="1:11" x14ac:dyDescent="0.35">
      <c r="A24" s="662"/>
      <c r="B24" s="365"/>
      <c r="C24" s="365"/>
      <c r="D24" s="539"/>
      <c r="E24" s="494"/>
      <c r="F24" s="494"/>
      <c r="G24" s="494"/>
      <c r="H24" s="494"/>
      <c r="I24" s="494"/>
      <c r="J24" s="494"/>
      <c r="K24" s="494"/>
    </row>
    <row r="25" spans="1:11" x14ac:dyDescent="0.35">
      <c r="A25" s="662"/>
      <c r="B25" s="365"/>
      <c r="C25" s="365"/>
      <c r="D25" s="539"/>
      <c r="E25" s="494"/>
      <c r="F25" s="494"/>
      <c r="G25" s="494"/>
      <c r="H25" s="494"/>
      <c r="I25" s="494"/>
      <c r="J25" s="494"/>
      <c r="K25" s="494"/>
    </row>
    <row r="26" spans="1:11" x14ac:dyDescent="0.35">
      <c r="A26" s="662"/>
      <c r="B26" s="365"/>
      <c r="C26" s="365"/>
      <c r="D26" s="539"/>
      <c r="E26" s="494"/>
      <c r="F26" s="494"/>
      <c r="G26" s="494"/>
      <c r="H26" s="494"/>
      <c r="I26" s="494"/>
      <c r="J26" s="494"/>
      <c r="K26" s="494"/>
    </row>
    <row r="27" spans="1:11" x14ac:dyDescent="0.35">
      <c r="A27" s="662"/>
      <c r="B27" s="365"/>
      <c r="C27" s="365"/>
      <c r="D27" s="539"/>
      <c r="E27" s="494"/>
      <c r="F27" s="494"/>
      <c r="G27" s="494"/>
      <c r="H27" s="494"/>
      <c r="I27" s="494"/>
      <c r="J27" s="494"/>
      <c r="K27" s="494"/>
    </row>
    <row r="28" spans="1:11" x14ac:dyDescent="0.35">
      <c r="A28" s="662"/>
      <c r="B28" s="365"/>
      <c r="C28" s="365"/>
      <c r="D28" s="539"/>
      <c r="E28" s="494"/>
      <c r="F28" s="494"/>
      <c r="G28" s="494"/>
      <c r="H28" s="494"/>
      <c r="I28" s="494"/>
      <c r="J28" s="494"/>
      <c r="K28" s="494"/>
    </row>
    <row r="29" spans="1:11" x14ac:dyDescent="0.35">
      <c r="A29" s="662"/>
      <c r="B29" s="365"/>
      <c r="C29" s="365"/>
      <c r="D29" s="539"/>
      <c r="E29" s="494"/>
      <c r="F29" s="494"/>
      <c r="G29" s="494"/>
      <c r="H29" s="494"/>
      <c r="I29" s="494"/>
      <c r="J29" s="494"/>
      <c r="K29" s="494"/>
    </row>
    <row r="30" spans="1:11" x14ac:dyDescent="0.35">
      <c r="A30" s="662"/>
      <c r="B30" s="365"/>
      <c r="C30" s="365"/>
      <c r="D30" s="539"/>
      <c r="E30" s="494"/>
      <c r="F30" s="494"/>
      <c r="G30" s="494"/>
      <c r="H30" s="494"/>
      <c r="I30" s="494"/>
      <c r="J30" s="494"/>
      <c r="K30" s="494"/>
    </row>
    <row r="31" spans="1:11" x14ac:dyDescent="0.35">
      <c r="A31" s="662"/>
      <c r="B31" s="365"/>
      <c r="C31" s="365"/>
      <c r="D31" s="539"/>
      <c r="E31" s="494"/>
      <c r="F31" s="494"/>
      <c r="G31" s="494"/>
      <c r="H31" s="494"/>
      <c r="I31" s="494"/>
      <c r="J31" s="494"/>
      <c r="K31" s="494"/>
    </row>
    <row r="32" spans="1:11" x14ac:dyDescent="0.35">
      <c r="A32" s="662"/>
      <c r="B32" s="365"/>
      <c r="C32" s="365"/>
      <c r="D32" s="539"/>
      <c r="E32" s="494"/>
      <c r="F32" s="494"/>
      <c r="G32" s="494"/>
      <c r="H32" s="494"/>
      <c r="I32" s="494"/>
      <c r="J32" s="494"/>
      <c r="K32" s="494"/>
    </row>
    <row r="33" spans="1:11" x14ac:dyDescent="0.35">
      <c r="A33" s="662"/>
      <c r="B33" s="365"/>
      <c r="C33" s="365"/>
      <c r="D33" s="539"/>
      <c r="E33" s="494"/>
      <c r="F33" s="494"/>
      <c r="G33" s="494"/>
      <c r="H33" s="494"/>
      <c r="I33" s="494"/>
      <c r="J33" s="494"/>
      <c r="K33" s="494"/>
    </row>
    <row r="34" spans="1:11" x14ac:dyDescent="0.35">
      <c r="A34" s="662"/>
      <c r="B34" s="365"/>
      <c r="C34" s="365"/>
      <c r="D34" s="539"/>
      <c r="E34" s="494"/>
      <c r="F34" s="494"/>
      <c r="G34" s="494"/>
      <c r="H34" s="494"/>
      <c r="I34" s="494"/>
      <c r="J34" s="494"/>
      <c r="K34" s="494"/>
    </row>
    <row r="35" spans="1:11" x14ac:dyDescent="0.35">
      <c r="A35" s="662"/>
      <c r="B35" s="365"/>
      <c r="C35" s="365"/>
      <c r="D35" s="539"/>
      <c r="E35" s="494"/>
      <c r="F35" s="494"/>
      <c r="G35" s="494"/>
      <c r="H35" s="494"/>
      <c r="I35" s="494"/>
      <c r="J35" s="494"/>
      <c r="K35" s="494"/>
    </row>
    <row r="36" spans="1:11" x14ac:dyDescent="0.35">
      <c r="A36" s="662"/>
      <c r="B36" s="365"/>
      <c r="C36" s="365"/>
      <c r="D36" s="539"/>
      <c r="E36" s="494"/>
      <c r="F36" s="494"/>
      <c r="G36" s="494"/>
      <c r="H36" s="494"/>
      <c r="I36" s="494"/>
      <c r="J36" s="494"/>
      <c r="K36" s="494"/>
    </row>
    <row r="37" spans="1:11" x14ac:dyDescent="0.35">
      <c r="A37" s="662"/>
      <c r="B37" s="365"/>
      <c r="C37" s="365"/>
      <c r="D37" s="539"/>
      <c r="E37" s="494"/>
      <c r="F37" s="494"/>
      <c r="G37" s="494"/>
      <c r="H37" s="494"/>
      <c r="I37" s="494"/>
      <c r="J37" s="494"/>
      <c r="K37" s="494"/>
    </row>
    <row r="38" spans="1:11" x14ac:dyDescent="0.35">
      <c r="A38" s="662"/>
      <c r="B38" s="365"/>
      <c r="C38" s="365"/>
      <c r="D38" s="539"/>
      <c r="E38" s="494"/>
      <c r="F38" s="494"/>
      <c r="G38" s="494"/>
      <c r="H38" s="494"/>
      <c r="I38" s="494"/>
      <c r="J38" s="494"/>
      <c r="K38" s="494"/>
    </row>
    <row r="39" spans="1:11" x14ac:dyDescent="0.35">
      <c r="A39" s="662"/>
      <c r="B39" s="365"/>
      <c r="C39" s="365"/>
      <c r="D39" s="539"/>
      <c r="E39" s="494"/>
      <c r="F39" s="494"/>
      <c r="G39" s="494"/>
      <c r="H39" s="494"/>
      <c r="I39" s="494"/>
      <c r="J39" s="494"/>
      <c r="K39" s="494"/>
    </row>
    <row r="40" spans="1:11" x14ac:dyDescent="0.35">
      <c r="A40" s="662"/>
      <c r="B40" s="365"/>
      <c r="C40" s="365"/>
      <c r="D40" s="539"/>
      <c r="E40" s="494"/>
      <c r="F40" s="494"/>
      <c r="G40" s="494"/>
      <c r="H40" s="494"/>
      <c r="I40" s="494"/>
      <c r="J40" s="494"/>
      <c r="K40" s="494"/>
    </row>
    <row r="41" spans="1:11" x14ac:dyDescent="0.35">
      <c r="A41" s="662"/>
      <c r="B41" s="365"/>
      <c r="C41" s="365"/>
      <c r="D41" s="539"/>
      <c r="E41" s="494"/>
      <c r="F41" s="494"/>
      <c r="G41" s="494"/>
      <c r="H41" s="494"/>
      <c r="I41" s="494"/>
      <c r="J41" s="494"/>
      <c r="K41" s="494"/>
    </row>
    <row r="42" spans="1:11" x14ac:dyDescent="0.35">
      <c r="A42" s="662"/>
      <c r="B42" s="365"/>
      <c r="C42" s="365"/>
      <c r="D42" s="539"/>
      <c r="E42" s="494"/>
      <c r="F42" s="494"/>
      <c r="G42" s="494"/>
      <c r="H42" s="494"/>
      <c r="I42" s="494"/>
      <c r="J42" s="494"/>
      <c r="K42" s="494"/>
    </row>
    <row r="43" spans="1:11" x14ac:dyDescent="0.35">
      <c r="A43" s="662"/>
      <c r="B43" s="365"/>
      <c r="C43" s="365"/>
      <c r="D43" s="539"/>
      <c r="E43" s="494"/>
      <c r="F43" s="494"/>
      <c r="G43" s="494"/>
      <c r="H43" s="494"/>
      <c r="I43" s="494"/>
      <c r="J43" s="494"/>
      <c r="K43" s="494"/>
    </row>
    <row r="44" spans="1:11" x14ac:dyDescent="0.35">
      <c r="A44" s="662"/>
      <c r="B44" s="365"/>
      <c r="C44" s="365"/>
      <c r="D44" s="539"/>
      <c r="E44" s="494"/>
      <c r="F44" s="494"/>
      <c r="G44" s="494"/>
      <c r="H44" s="494"/>
      <c r="I44" s="494"/>
      <c r="J44" s="494"/>
      <c r="K44" s="494"/>
    </row>
    <row r="45" spans="1:11" x14ac:dyDescent="0.35">
      <c r="A45" s="662"/>
      <c r="B45" s="365"/>
      <c r="C45" s="365"/>
      <c r="D45" s="539"/>
      <c r="E45" s="494"/>
      <c r="F45" s="494"/>
      <c r="G45" s="494"/>
      <c r="H45" s="494"/>
      <c r="I45" s="494"/>
      <c r="J45" s="494"/>
      <c r="K45" s="494"/>
    </row>
    <row r="46" spans="1:11" x14ac:dyDescent="0.35">
      <c r="A46" s="662"/>
      <c r="B46" s="365"/>
      <c r="C46" s="365"/>
      <c r="D46" s="539"/>
      <c r="E46" s="494"/>
      <c r="F46" s="494"/>
      <c r="G46" s="494"/>
      <c r="H46" s="494"/>
      <c r="I46" s="494"/>
      <c r="J46" s="494"/>
      <c r="K46" s="494"/>
    </row>
    <row r="47" spans="1:11" ht="15" thickBot="1" x14ac:dyDescent="0.4">
      <c r="A47" s="663"/>
      <c r="B47" s="511"/>
      <c r="C47" s="511"/>
      <c r="D47" s="540"/>
      <c r="E47" s="512"/>
      <c r="F47" s="512"/>
      <c r="G47" s="512"/>
      <c r="H47" s="512"/>
      <c r="I47" s="512"/>
      <c r="J47" s="512"/>
      <c r="K47" s="512"/>
    </row>
    <row r="48" spans="1:11" ht="14.5" customHeight="1" x14ac:dyDescent="0.35">
      <c r="A48" s="655" t="s">
        <v>1471</v>
      </c>
      <c r="B48" s="531"/>
      <c r="C48" s="531"/>
      <c r="D48" s="532"/>
      <c r="E48" s="533"/>
      <c r="F48" s="533"/>
      <c r="G48" s="533"/>
      <c r="H48" s="533"/>
      <c r="I48" s="533"/>
      <c r="J48" s="533"/>
      <c r="K48" s="533"/>
    </row>
    <row r="49" spans="1:11" ht="14.5" customHeight="1" thickBot="1" x14ac:dyDescent="0.4">
      <c r="A49" s="656"/>
      <c r="B49" s="534"/>
      <c r="C49" s="534"/>
      <c r="D49" s="535"/>
      <c r="E49" s="536"/>
      <c r="F49" s="536"/>
      <c r="G49" s="536"/>
      <c r="H49" s="536"/>
      <c r="I49" s="536"/>
      <c r="J49" s="536"/>
      <c r="K49" s="536"/>
    </row>
    <row r="50" spans="1:11" ht="14.5" customHeight="1" x14ac:dyDescent="0.35">
      <c r="A50" s="655" t="s">
        <v>1469</v>
      </c>
      <c r="B50" s="125"/>
      <c r="C50" s="531"/>
      <c r="D50" s="537"/>
      <c r="E50" s="533"/>
      <c r="F50" s="533"/>
      <c r="G50" s="533"/>
      <c r="H50" s="533"/>
      <c r="I50" s="533"/>
      <c r="J50" s="533"/>
      <c r="K50" s="533"/>
    </row>
    <row r="51" spans="1:11" ht="14.5" customHeight="1" thickBot="1" x14ac:dyDescent="0.4">
      <c r="A51" s="656"/>
      <c r="B51" s="534"/>
      <c r="C51" s="534"/>
      <c r="D51" s="538"/>
      <c r="E51" s="536"/>
      <c r="F51" s="536"/>
      <c r="G51" s="536"/>
      <c r="H51" s="536"/>
      <c r="I51" s="536"/>
      <c r="J51" s="536"/>
      <c r="K51" s="536"/>
    </row>
    <row r="52" spans="1:11" ht="16.5" customHeight="1" x14ac:dyDescent="0.35">
      <c r="A52" s="657" t="s">
        <v>1466</v>
      </c>
      <c r="B52" s="527"/>
      <c r="C52" s="527"/>
      <c r="D52" s="541"/>
      <c r="E52" s="528"/>
      <c r="F52" s="528"/>
      <c r="G52" s="528"/>
      <c r="H52" s="528"/>
      <c r="I52" s="528"/>
      <c r="J52" s="528"/>
      <c r="K52" s="528"/>
    </row>
    <row r="53" spans="1:11" ht="16.5" customHeight="1" x14ac:dyDescent="0.35">
      <c r="A53" s="658"/>
      <c r="B53" s="365"/>
      <c r="C53" s="365"/>
      <c r="D53" s="539"/>
      <c r="E53" s="494"/>
      <c r="F53" s="494"/>
      <c r="G53" s="494"/>
      <c r="H53" s="494"/>
      <c r="I53" s="494"/>
      <c r="J53" s="494"/>
      <c r="K53" s="494"/>
    </row>
    <row r="54" spans="1:11" ht="16.5" customHeight="1" x14ac:dyDescent="0.35">
      <c r="A54" s="658"/>
      <c r="B54" s="365"/>
      <c r="C54" s="365"/>
      <c r="D54" s="539"/>
      <c r="E54" s="494"/>
      <c r="F54" s="494"/>
      <c r="G54" s="494"/>
      <c r="H54" s="494"/>
      <c r="I54" s="494"/>
      <c r="J54" s="494"/>
      <c r="K54" s="494"/>
    </row>
    <row r="55" spans="1:11" ht="16.5" customHeight="1" x14ac:dyDescent="0.35">
      <c r="A55" s="658"/>
      <c r="B55" s="365"/>
      <c r="C55" s="365"/>
      <c r="D55" s="539"/>
      <c r="E55" s="494"/>
      <c r="F55" s="494"/>
      <c r="G55" s="494"/>
      <c r="H55" s="494"/>
      <c r="I55" s="494"/>
      <c r="J55" s="494"/>
      <c r="K55" s="494"/>
    </row>
    <row r="56" spans="1:11" ht="16.5" customHeight="1" x14ac:dyDescent="0.35">
      <c r="A56" s="658"/>
      <c r="B56" s="365"/>
      <c r="C56" s="365"/>
      <c r="D56" s="539"/>
      <c r="E56" s="494"/>
      <c r="F56" s="494"/>
      <c r="G56" s="494"/>
      <c r="H56" s="494"/>
      <c r="I56" s="494"/>
      <c r="J56" s="494"/>
      <c r="K56" s="494"/>
    </row>
    <row r="57" spans="1:11" ht="16.5" customHeight="1" x14ac:dyDescent="0.35">
      <c r="A57" s="658"/>
      <c r="B57" s="365"/>
      <c r="C57" s="365"/>
      <c r="D57" s="539"/>
      <c r="E57" s="494"/>
      <c r="F57" s="494"/>
      <c r="G57" s="494"/>
      <c r="H57" s="494"/>
      <c r="I57" s="494"/>
      <c r="J57" s="494"/>
      <c r="K57" s="494"/>
    </row>
    <row r="58" spans="1:11" ht="16.5" customHeight="1" x14ac:dyDescent="0.35">
      <c r="A58" s="658"/>
      <c r="B58" s="365"/>
      <c r="C58" s="365"/>
      <c r="D58" s="539"/>
      <c r="E58" s="494"/>
      <c r="F58" s="494"/>
      <c r="G58" s="494"/>
      <c r="H58" s="494"/>
      <c r="I58" s="494"/>
      <c r="J58" s="494"/>
      <c r="K58" s="494"/>
    </row>
    <row r="59" spans="1:11" ht="16.5" customHeight="1" thickBot="1" x14ac:dyDescent="0.4">
      <c r="A59" s="659"/>
      <c r="B59" s="511"/>
      <c r="C59" s="511"/>
      <c r="D59" s="540"/>
      <c r="E59" s="512"/>
      <c r="F59" s="512"/>
      <c r="G59" s="512"/>
      <c r="H59" s="512"/>
      <c r="I59" s="512"/>
      <c r="J59" s="512"/>
      <c r="K59" s="512"/>
    </row>
    <row r="60" spans="1:11" ht="15" customHeight="1" x14ac:dyDescent="0.35">
      <c r="A60" s="655" t="s">
        <v>1467</v>
      </c>
      <c r="B60" s="527"/>
      <c r="C60" s="527"/>
      <c r="D60" s="542" t="s">
        <v>1794</v>
      </c>
      <c r="E60" s="528"/>
      <c r="F60" s="528"/>
      <c r="G60" s="528"/>
      <c r="H60" s="528"/>
      <c r="I60" s="528"/>
      <c r="J60" s="528"/>
      <c r="K60" s="528"/>
    </row>
    <row r="61" spans="1:11" ht="15" customHeight="1" x14ac:dyDescent="0.35">
      <c r="A61" s="660"/>
      <c r="B61" s="365"/>
      <c r="C61" s="365"/>
      <c r="D61" s="543">
        <v>11356980</v>
      </c>
      <c r="E61" s="494"/>
      <c r="F61" s="494"/>
      <c r="G61" s="494"/>
      <c r="H61" s="494"/>
      <c r="I61" s="494"/>
      <c r="J61" s="494"/>
      <c r="K61" s="494"/>
    </row>
    <row r="62" spans="1:11" ht="15" customHeight="1" x14ac:dyDescent="0.35">
      <c r="A62" s="660"/>
      <c r="B62" s="365"/>
      <c r="C62" s="365"/>
      <c r="D62" s="543">
        <v>11358446</v>
      </c>
      <c r="E62" s="494"/>
      <c r="F62" s="494"/>
      <c r="G62" s="494"/>
      <c r="H62" s="494"/>
      <c r="I62" s="494"/>
      <c r="J62" s="494"/>
      <c r="K62" s="494"/>
    </row>
    <row r="63" spans="1:11" ht="15" customHeight="1" x14ac:dyDescent="0.35">
      <c r="A63" s="660"/>
      <c r="B63" s="365"/>
      <c r="C63" s="365"/>
      <c r="D63" s="543">
        <v>11358374</v>
      </c>
      <c r="E63" s="494"/>
      <c r="F63" s="494"/>
      <c r="G63" s="494"/>
      <c r="H63" s="494"/>
      <c r="I63" s="494"/>
      <c r="J63" s="494"/>
      <c r="K63" s="494"/>
    </row>
    <row r="64" spans="1:11" ht="15" customHeight="1" x14ac:dyDescent="0.35">
      <c r="A64" s="660"/>
      <c r="B64" s="365"/>
      <c r="C64" s="365"/>
      <c r="D64" s="543">
        <v>11359585</v>
      </c>
      <c r="E64" s="494"/>
      <c r="F64" s="494"/>
      <c r="G64" s="494"/>
      <c r="H64" s="494"/>
      <c r="I64" s="494"/>
      <c r="J64" s="494"/>
      <c r="K64" s="494"/>
    </row>
    <row r="65" spans="1:11" ht="15" customHeight="1" x14ac:dyDescent="0.35">
      <c r="A65" s="660"/>
      <c r="B65" s="365"/>
      <c r="C65" s="365"/>
      <c r="D65" s="543">
        <v>11345492</v>
      </c>
      <c r="E65" s="494"/>
      <c r="F65" s="494"/>
      <c r="G65" s="494"/>
      <c r="H65" s="494"/>
      <c r="I65" s="494"/>
      <c r="J65" s="494"/>
      <c r="K65" s="494"/>
    </row>
    <row r="66" spans="1:11" ht="15" customHeight="1" x14ac:dyDescent="0.35">
      <c r="A66" s="660"/>
      <c r="B66" s="365"/>
      <c r="C66" s="365"/>
      <c r="D66" s="543">
        <v>11358400</v>
      </c>
      <c r="E66" s="494"/>
      <c r="F66" s="494"/>
      <c r="G66" s="494"/>
      <c r="H66" s="494"/>
      <c r="I66" s="494"/>
      <c r="J66" s="494"/>
      <c r="K66" s="494"/>
    </row>
    <row r="67" spans="1:11" ht="15" customHeight="1" x14ac:dyDescent="0.35">
      <c r="A67" s="660"/>
      <c r="B67" s="365"/>
      <c r="C67" s="365"/>
      <c r="D67" s="543">
        <v>11358450</v>
      </c>
      <c r="E67" s="494"/>
      <c r="F67" s="494"/>
      <c r="G67" s="494"/>
      <c r="H67" s="494"/>
      <c r="I67" s="494"/>
      <c r="J67" s="494"/>
      <c r="K67" s="494"/>
    </row>
    <row r="68" spans="1:11" ht="15" customHeight="1" x14ac:dyDescent="0.35">
      <c r="A68" s="660"/>
      <c r="B68" s="365"/>
      <c r="C68" s="365"/>
      <c r="D68" s="543">
        <v>11342706</v>
      </c>
      <c r="E68" s="494"/>
      <c r="F68" s="494"/>
      <c r="G68" s="494"/>
      <c r="H68" s="494"/>
      <c r="I68" s="494"/>
      <c r="J68" s="494"/>
      <c r="K68" s="494"/>
    </row>
    <row r="69" spans="1:11" ht="15.75" customHeight="1" x14ac:dyDescent="0.35">
      <c r="A69" s="660"/>
      <c r="B69" s="365"/>
      <c r="C69" s="365"/>
      <c r="D69" s="543">
        <v>11342704</v>
      </c>
      <c r="E69" s="494"/>
      <c r="F69" s="494"/>
      <c r="G69" s="494"/>
      <c r="H69" s="494"/>
      <c r="I69" s="494"/>
      <c r="J69" s="494"/>
      <c r="K69" s="494"/>
    </row>
    <row r="70" spans="1:11" ht="14.5" customHeight="1" x14ac:dyDescent="0.35">
      <c r="A70" s="660"/>
      <c r="B70" s="365"/>
      <c r="C70" s="365"/>
      <c r="D70" s="543">
        <v>11358981</v>
      </c>
      <c r="E70" s="494"/>
      <c r="F70" s="494"/>
      <c r="G70" s="494"/>
      <c r="H70" s="494"/>
      <c r="I70" s="494"/>
      <c r="J70" s="494"/>
      <c r="K70" s="494"/>
    </row>
    <row r="71" spans="1:11" ht="15.75" customHeight="1" x14ac:dyDescent="0.35">
      <c r="A71" s="660"/>
      <c r="B71" s="365"/>
      <c r="C71" s="365"/>
      <c r="D71" s="543">
        <v>11361131</v>
      </c>
      <c r="E71" s="494"/>
      <c r="F71" s="494"/>
      <c r="G71" s="494"/>
      <c r="H71" s="494"/>
      <c r="I71" s="494"/>
      <c r="J71" s="494"/>
      <c r="K71" s="494"/>
    </row>
    <row r="72" spans="1:11" ht="15" customHeight="1" x14ac:dyDescent="0.35">
      <c r="A72" s="660"/>
      <c r="B72" s="365"/>
      <c r="C72" s="365"/>
      <c r="D72" s="543">
        <v>11338596</v>
      </c>
      <c r="E72" s="494"/>
      <c r="F72" s="494"/>
      <c r="G72" s="494"/>
      <c r="H72" s="494"/>
      <c r="I72" s="494"/>
      <c r="J72" s="494"/>
      <c r="K72" s="494"/>
    </row>
    <row r="73" spans="1:11" ht="15" customHeight="1" x14ac:dyDescent="0.35">
      <c r="A73" s="660"/>
      <c r="B73" s="365"/>
      <c r="C73" s="365"/>
      <c r="D73" s="543">
        <v>11361829</v>
      </c>
      <c r="E73" s="494"/>
      <c r="F73" s="494"/>
      <c r="G73" s="494"/>
      <c r="H73" s="494"/>
      <c r="I73" s="494"/>
      <c r="J73" s="494"/>
      <c r="K73" s="494"/>
    </row>
    <row r="74" spans="1:11" ht="15" customHeight="1" x14ac:dyDescent="0.35">
      <c r="A74" s="660"/>
      <c r="B74" s="365"/>
      <c r="C74" s="365"/>
      <c r="D74" s="543">
        <v>11355482</v>
      </c>
      <c r="E74" s="494"/>
      <c r="F74" s="494"/>
      <c r="G74" s="494"/>
      <c r="H74" s="494"/>
      <c r="I74" s="494"/>
      <c r="J74" s="494"/>
      <c r="K74" s="494"/>
    </row>
    <row r="75" spans="1:11" ht="15" customHeight="1" x14ac:dyDescent="0.35">
      <c r="A75" s="660"/>
      <c r="B75" s="365"/>
      <c r="C75" s="365"/>
      <c r="D75" s="543">
        <v>11355481</v>
      </c>
      <c r="E75" s="494"/>
      <c r="F75" s="494"/>
      <c r="G75" s="494"/>
      <c r="H75" s="494"/>
      <c r="I75" s="494"/>
      <c r="J75" s="494"/>
      <c r="K75" s="494"/>
    </row>
    <row r="76" spans="1:11" ht="15" customHeight="1" x14ac:dyDescent="0.35">
      <c r="A76" s="660"/>
      <c r="B76" s="365"/>
      <c r="C76" s="365"/>
      <c r="D76" s="543">
        <v>11364515</v>
      </c>
      <c r="E76" s="494"/>
      <c r="F76" s="494"/>
      <c r="G76" s="494"/>
      <c r="H76" s="494"/>
      <c r="I76" s="494"/>
      <c r="J76" s="494"/>
      <c r="K76" s="494"/>
    </row>
    <row r="77" spans="1:11" ht="15" customHeight="1" thickBot="1" x14ac:dyDescent="0.4">
      <c r="A77" s="656"/>
      <c r="B77" s="511"/>
      <c r="C77" s="511"/>
      <c r="D77" s="544">
        <v>11362381</v>
      </c>
      <c r="E77" s="512"/>
      <c r="F77" s="512"/>
      <c r="G77" s="512"/>
      <c r="H77" s="512"/>
      <c r="I77" s="512"/>
      <c r="J77" s="512"/>
      <c r="K77" s="512"/>
    </row>
  </sheetData>
  <sortState xmlns:xlrd2="http://schemas.microsoft.com/office/spreadsheetml/2017/richdata2" ref="F62:F83">
    <sortCondition ref="F61:F83"/>
  </sortState>
  <mergeCells count="5">
    <mergeCell ref="A50:A51"/>
    <mergeCell ref="A52:A59"/>
    <mergeCell ref="A60:A77"/>
    <mergeCell ref="A48:A49"/>
    <mergeCell ref="A2:A47"/>
  </mergeCells>
  <phoneticPr fontId="11" type="noConversion"/>
  <conditionalFormatting sqref="D1:D51 D60:D1048576">
    <cfRule type="duplicateValues" dxfId="23" priority="2020"/>
  </conditionalFormatting>
  <conditionalFormatting sqref="D1:D1048576">
    <cfRule type="duplicateValues" dxfId="22" priority="2025"/>
  </conditionalFormatting>
  <conditionalFormatting sqref="D48:D49">
    <cfRule type="duplicateValues" dxfId="21" priority="34"/>
    <cfRule type="duplicateValues" dxfId="20" priority="35"/>
  </conditionalFormatting>
  <conditionalFormatting sqref="D48:D50">
    <cfRule type="duplicateValues" dxfId="19" priority="1550"/>
  </conditionalFormatting>
  <conditionalFormatting sqref="D51">
    <cfRule type="duplicateValues" dxfId="18" priority="1411"/>
    <cfRule type="duplicateValues" dxfId="17" priority="1412"/>
  </conditionalFormatting>
  <conditionalFormatting sqref="D52:D59">
    <cfRule type="duplicateValues" dxfId="16" priority="1994"/>
    <cfRule type="duplicateValues" dxfId="15" priority="1995"/>
  </conditionalFormatting>
  <conditionalFormatting sqref="D74">
    <cfRule type="duplicateValues" dxfId="14" priority="1337"/>
  </conditionalFormatting>
  <conditionalFormatting sqref="D75">
    <cfRule type="duplicateValues" dxfId="13" priority="8"/>
  </conditionalFormatting>
  <conditionalFormatting sqref="D77">
    <cfRule type="duplicateValues" dxfId="12" priority="1"/>
    <cfRule type="duplicateValues" dxfId="11" priority="2"/>
  </conditionalFormatting>
  <conditionalFormatting sqref="D78:D1048576 D1 D51">
    <cfRule type="duplicateValues" dxfId="10" priority="1996"/>
  </conditionalFormatting>
  <conditionalFormatting sqref="D78:D1048576 D1:D51 D60:D76">
    <cfRule type="duplicateValues" dxfId="9" priority="2000"/>
  </conditionalFormatting>
  <conditionalFormatting sqref="D78:F1048576 D60:F60 D1:F51 E69:F77 D61:E63 D64:D76 E64:E68">
    <cfRule type="duplicateValues" dxfId="8" priority="2011"/>
  </conditionalFormatting>
  <conditionalFormatting sqref="F61:F68 D52:F59">
    <cfRule type="duplicateValues" dxfId="7" priority="1713"/>
  </conditionalFormatting>
  <conditionalFormatting sqref="F68">
    <cfRule type="duplicateValues" dxfId="6" priority="11"/>
    <cfRule type="duplicateValues" dxfId="5" priority="12"/>
  </conditionalFormatting>
  <conditionalFormatting sqref="F69">
    <cfRule type="duplicateValues" dxfId="4" priority="1434"/>
    <cfRule type="duplicateValues" dxfId="3" priority="1435"/>
    <cfRule type="duplicateValues" dxfId="2" priority="1436"/>
  </conditionalFormatting>
  <pageMargins left="0.7" right="0.7" top="0.75" bottom="0.75" header="0.3" footer="0.3"/>
  <pageSetup scale="60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-0.249977111117893"/>
  </sheetPr>
  <dimension ref="A4:AH22"/>
  <sheetViews>
    <sheetView showGridLines="0" topLeftCell="H4" zoomScale="90" zoomScaleNormal="90" workbookViewId="0">
      <selection activeCell="C15" sqref="A14:XFD15"/>
    </sheetView>
  </sheetViews>
  <sheetFormatPr baseColWidth="10" defaultRowHeight="14.5" x14ac:dyDescent="0.35"/>
  <cols>
    <col min="1" max="1" width="8.81640625" bestFit="1" customWidth="1"/>
    <col min="2" max="2" width="10.7265625" bestFit="1" customWidth="1"/>
    <col min="3" max="3" width="30.81640625" customWidth="1"/>
    <col min="4" max="4" width="24.1796875" bestFit="1" customWidth="1"/>
    <col min="5" max="5" width="9.1796875" bestFit="1" customWidth="1"/>
    <col min="6" max="6" width="12.7265625" bestFit="1" customWidth="1"/>
    <col min="7" max="7" width="16.7265625" bestFit="1" customWidth="1"/>
    <col min="8" max="8" width="11.7265625" style="107" bestFit="1" customWidth="1"/>
    <col min="9" max="9" width="11" bestFit="1" customWidth="1"/>
    <col min="10" max="10" width="7.1796875" hidden="1" customWidth="1"/>
    <col min="11" max="11" width="6.7265625" hidden="1" customWidth="1"/>
    <col min="12" max="12" width="7.1796875" hidden="1" customWidth="1"/>
    <col min="13" max="13" width="7.453125" hidden="1" customWidth="1"/>
    <col min="14" max="14" width="7.54296875" hidden="1" customWidth="1"/>
    <col min="15" max="15" width="6.81640625" hidden="1" customWidth="1"/>
    <col min="16" max="16" width="7.453125" hidden="1" customWidth="1"/>
    <col min="17" max="17" width="10.26953125" customWidth="1"/>
    <col min="18" max="18" width="11.26953125" customWidth="1"/>
    <col min="19" max="19" width="9.54296875" customWidth="1"/>
    <col min="20" max="20" width="12" bestFit="1" customWidth="1"/>
    <col min="21" max="21" width="9.81640625" customWidth="1"/>
    <col min="22" max="22" width="9.1796875" customWidth="1"/>
    <col min="23" max="23" width="8.7265625" customWidth="1"/>
    <col min="24" max="28" width="10.26953125" customWidth="1"/>
    <col min="29" max="29" width="17.453125" style="107" bestFit="1" customWidth="1"/>
  </cols>
  <sheetData>
    <row r="4" spans="1:34" x14ac:dyDescent="0.35">
      <c r="B4" s="133" t="s">
        <v>1157</v>
      </c>
      <c r="C4" s="133" t="s">
        <v>588</v>
      </c>
      <c r="D4" s="133" t="s">
        <v>1158</v>
      </c>
      <c r="E4" s="133" t="s">
        <v>1159</v>
      </c>
      <c r="F4" s="133" t="s">
        <v>1160</v>
      </c>
      <c r="G4" s="133" t="s">
        <v>1161</v>
      </c>
      <c r="H4" s="321">
        <v>45597</v>
      </c>
      <c r="I4" s="321">
        <v>45627</v>
      </c>
      <c r="J4" s="321">
        <v>45658</v>
      </c>
      <c r="K4" s="321">
        <v>45689</v>
      </c>
      <c r="L4" s="321">
        <v>45717</v>
      </c>
      <c r="M4" s="321">
        <v>45748</v>
      </c>
      <c r="N4" s="321">
        <v>45778</v>
      </c>
      <c r="O4" s="321">
        <v>45809</v>
      </c>
      <c r="P4" s="321">
        <v>45839</v>
      </c>
      <c r="Q4" s="321">
        <v>45658</v>
      </c>
      <c r="R4" s="321">
        <v>45689</v>
      </c>
      <c r="S4" s="321">
        <v>45717</v>
      </c>
      <c r="T4" s="321">
        <v>45748</v>
      </c>
      <c r="U4" s="321">
        <v>45778</v>
      </c>
      <c r="V4" s="321">
        <v>45809</v>
      </c>
      <c r="W4" s="321">
        <v>45839</v>
      </c>
      <c r="X4" s="321">
        <v>45870</v>
      </c>
      <c r="Y4" s="321">
        <v>45901</v>
      </c>
      <c r="Z4" s="321">
        <v>45931</v>
      </c>
      <c r="AA4" s="321">
        <v>45962</v>
      </c>
      <c r="AB4" s="321">
        <v>45992</v>
      </c>
      <c r="AC4" s="379" t="s">
        <v>1490</v>
      </c>
    </row>
    <row r="5" spans="1:34" x14ac:dyDescent="0.35">
      <c r="A5" s="107" t="s">
        <v>1477</v>
      </c>
      <c r="B5" t="s">
        <v>1162</v>
      </c>
      <c r="C5" t="s">
        <v>1401</v>
      </c>
      <c r="D5" t="s">
        <v>1163</v>
      </c>
      <c r="E5" s="132" t="s">
        <v>1164</v>
      </c>
      <c r="F5" s="107" t="s">
        <v>1165</v>
      </c>
      <c r="G5" t="s">
        <v>1166</v>
      </c>
      <c r="H5" s="408"/>
      <c r="I5" s="443"/>
      <c r="J5" s="190"/>
      <c r="K5" s="190"/>
      <c r="L5" s="384" t="s">
        <v>1486</v>
      </c>
      <c r="M5" s="381"/>
      <c r="N5" s="190"/>
      <c r="O5" s="190"/>
      <c r="P5" s="443"/>
      <c r="Q5" s="443"/>
      <c r="R5" s="443"/>
      <c r="S5" s="443"/>
      <c r="T5" s="443"/>
      <c r="U5" s="446" t="s">
        <v>1485</v>
      </c>
      <c r="V5" s="190"/>
      <c r="W5" s="190"/>
      <c r="X5" s="190"/>
      <c r="Y5" s="190"/>
      <c r="Z5" s="190"/>
      <c r="AA5" s="409" t="s">
        <v>1592</v>
      </c>
      <c r="AB5" s="380"/>
      <c r="AC5" s="380"/>
      <c r="AD5" s="477">
        <v>45982</v>
      </c>
    </row>
    <row r="6" spans="1:34" x14ac:dyDescent="0.35">
      <c r="A6" s="107" t="s">
        <v>1477</v>
      </c>
      <c r="B6" s="134" t="s">
        <v>1177</v>
      </c>
      <c r="C6" s="134" t="s">
        <v>789</v>
      </c>
      <c r="D6" s="134" t="s">
        <v>1163</v>
      </c>
      <c r="E6" s="135" t="s">
        <v>1473</v>
      </c>
      <c r="F6" s="136" t="s">
        <v>1165</v>
      </c>
      <c r="G6" s="134" t="s">
        <v>1474</v>
      </c>
      <c r="H6" s="410" t="s">
        <v>1485</v>
      </c>
      <c r="I6" s="444"/>
      <c r="J6" s="359"/>
      <c r="K6" s="359"/>
      <c r="L6" s="359"/>
      <c r="M6" s="359"/>
      <c r="N6" s="359"/>
      <c r="O6" s="359"/>
      <c r="P6" s="359"/>
      <c r="Q6" s="444"/>
      <c r="R6" s="444"/>
      <c r="S6" s="444"/>
      <c r="T6" s="409" t="s">
        <v>1486</v>
      </c>
      <c r="U6" s="444"/>
      <c r="V6" s="447"/>
      <c r="W6" s="447"/>
      <c r="X6" s="447"/>
      <c r="Y6" s="447"/>
      <c r="Z6" s="447"/>
      <c r="AA6" s="409" t="s">
        <v>1486</v>
      </c>
      <c r="AB6" s="447"/>
      <c r="AC6" s="447"/>
      <c r="AD6" s="477">
        <v>45971</v>
      </c>
    </row>
    <row r="7" spans="1:34" x14ac:dyDescent="0.35">
      <c r="A7" s="107" t="s">
        <v>1477</v>
      </c>
      <c r="B7" t="s">
        <v>1167</v>
      </c>
      <c r="C7" t="s">
        <v>1220</v>
      </c>
      <c r="D7" t="s">
        <v>1168</v>
      </c>
      <c r="E7" s="132" t="s">
        <v>1169</v>
      </c>
      <c r="F7" s="107" t="s">
        <v>1170</v>
      </c>
      <c r="G7" t="s">
        <v>1171</v>
      </c>
      <c r="H7" s="408"/>
      <c r="I7" s="443"/>
      <c r="J7" s="190"/>
      <c r="K7" s="190"/>
      <c r="L7" s="190"/>
      <c r="M7" s="360" t="s">
        <v>1486</v>
      </c>
      <c r="N7" s="190"/>
      <c r="O7" s="190"/>
      <c r="P7" s="443"/>
      <c r="Q7" s="443"/>
      <c r="R7" s="443"/>
      <c r="S7" s="443"/>
      <c r="T7" s="443"/>
      <c r="U7" s="443"/>
      <c r="V7" s="190"/>
      <c r="W7" s="190"/>
      <c r="X7" s="190"/>
      <c r="Y7" s="190"/>
      <c r="Z7" s="190"/>
      <c r="AA7" s="190"/>
      <c r="AB7" s="190"/>
      <c r="AC7" s="380"/>
    </row>
    <row r="8" spans="1:34" x14ac:dyDescent="0.35">
      <c r="A8" s="107" t="s">
        <v>1477</v>
      </c>
      <c r="B8" s="134" t="s">
        <v>1167</v>
      </c>
      <c r="C8" s="134" t="s">
        <v>1223</v>
      </c>
      <c r="D8" s="134" t="s">
        <v>1163</v>
      </c>
      <c r="E8" s="135" t="s">
        <v>1172</v>
      </c>
      <c r="F8" s="136" t="s">
        <v>1173</v>
      </c>
      <c r="G8" s="134" t="s">
        <v>1174</v>
      </c>
      <c r="H8" s="411"/>
      <c r="I8" s="445" t="s">
        <v>1486</v>
      </c>
      <c r="J8" s="359"/>
      <c r="K8" s="359"/>
      <c r="L8" s="359"/>
      <c r="M8" s="359"/>
      <c r="N8" s="359"/>
      <c r="O8" s="359"/>
      <c r="P8" s="359"/>
      <c r="Q8" s="444"/>
      <c r="R8" s="444"/>
      <c r="S8" s="444"/>
      <c r="T8" s="444"/>
      <c r="U8" s="444"/>
      <c r="V8" s="447"/>
      <c r="W8" s="447"/>
      <c r="X8" s="446" t="s">
        <v>1485</v>
      </c>
      <c r="Y8" s="447"/>
      <c r="Z8" s="447"/>
      <c r="AA8" s="447"/>
      <c r="AB8" s="447"/>
      <c r="AC8" s="447"/>
    </row>
    <row r="9" spans="1:34" x14ac:dyDescent="0.35">
      <c r="A9" s="107" t="s">
        <v>1477</v>
      </c>
      <c r="B9" t="s">
        <v>1167</v>
      </c>
      <c r="C9" t="s">
        <v>1223</v>
      </c>
      <c r="D9" t="s">
        <v>1168</v>
      </c>
      <c r="E9" s="132" t="s">
        <v>1175</v>
      </c>
      <c r="F9" s="107" t="s">
        <v>1173</v>
      </c>
      <c r="G9" t="s">
        <v>1176</v>
      </c>
      <c r="H9" s="408"/>
      <c r="I9" s="446" t="s">
        <v>1485</v>
      </c>
      <c r="J9" s="190"/>
      <c r="K9" s="190"/>
      <c r="L9" s="190"/>
      <c r="M9" s="381"/>
      <c r="N9" s="384" t="s">
        <v>1486</v>
      </c>
      <c r="O9" s="190"/>
      <c r="P9" s="443"/>
      <c r="Q9" s="443"/>
      <c r="R9" s="443"/>
      <c r="S9" s="443"/>
      <c r="T9" s="443"/>
      <c r="U9" s="443"/>
      <c r="V9" s="409" t="s">
        <v>1486</v>
      </c>
      <c r="W9" s="190"/>
      <c r="X9" s="446" t="s">
        <v>1485</v>
      </c>
      <c r="Y9" s="380"/>
      <c r="Z9" s="380"/>
      <c r="AA9" s="380"/>
      <c r="AB9" s="380"/>
      <c r="AC9" s="380"/>
    </row>
    <row r="10" spans="1:34" x14ac:dyDescent="0.35">
      <c r="A10" s="107" t="s">
        <v>1477</v>
      </c>
      <c r="B10" s="134" t="s">
        <v>1177</v>
      </c>
      <c r="C10" s="134" t="s">
        <v>1462</v>
      </c>
      <c r="D10" s="134" t="s">
        <v>1163</v>
      </c>
      <c r="E10" s="135" t="s">
        <v>1178</v>
      </c>
      <c r="F10" s="136" t="s">
        <v>1179</v>
      </c>
      <c r="G10" s="134" t="s">
        <v>1180</v>
      </c>
      <c r="H10" s="411"/>
      <c r="I10" s="444"/>
      <c r="J10" s="359"/>
      <c r="K10" s="359"/>
      <c r="L10" s="359"/>
      <c r="M10" s="359"/>
      <c r="N10" s="359"/>
      <c r="O10" s="359"/>
      <c r="P10" s="359"/>
      <c r="Q10" s="444"/>
      <c r="R10" s="444"/>
      <c r="S10" s="444"/>
      <c r="T10" s="444"/>
      <c r="U10" s="446" t="s">
        <v>1485</v>
      </c>
      <c r="V10" s="447"/>
      <c r="W10" s="447"/>
      <c r="X10" s="447"/>
      <c r="Y10" s="447"/>
      <c r="Z10" s="447"/>
      <c r="AA10" s="446" t="s">
        <v>1485</v>
      </c>
      <c r="AB10" s="447"/>
      <c r="AC10" s="447"/>
      <c r="AD10" s="477">
        <v>45971</v>
      </c>
    </row>
    <row r="11" spans="1:34" x14ac:dyDescent="0.35">
      <c r="A11" s="107" t="s">
        <v>1477</v>
      </c>
      <c r="B11" t="s">
        <v>1177</v>
      </c>
      <c r="C11" t="s">
        <v>1228</v>
      </c>
      <c r="D11" t="s">
        <v>1163</v>
      </c>
      <c r="E11" s="132" t="s">
        <v>1181</v>
      </c>
      <c r="F11" s="107" t="s">
        <v>1170</v>
      </c>
      <c r="G11" t="s">
        <v>1182</v>
      </c>
      <c r="H11" s="408"/>
      <c r="I11" s="443"/>
      <c r="J11" s="190"/>
      <c r="K11" s="190"/>
      <c r="L11" s="384" t="s">
        <v>1486</v>
      </c>
      <c r="M11" s="381"/>
      <c r="N11" s="190"/>
      <c r="O11" s="190"/>
      <c r="P11" s="443"/>
      <c r="Q11" s="443"/>
      <c r="R11" s="443"/>
      <c r="S11" s="443"/>
      <c r="T11" s="409" t="s">
        <v>1486</v>
      </c>
      <c r="U11" s="443"/>
      <c r="V11" s="190"/>
      <c r="W11" s="190"/>
      <c r="X11" s="190"/>
      <c r="Y11" s="190"/>
      <c r="Z11" s="190"/>
      <c r="AA11" s="446" t="s">
        <v>1552</v>
      </c>
      <c r="AB11" s="502">
        <v>46008</v>
      </c>
      <c r="AC11" s="380"/>
      <c r="AD11" s="477">
        <v>45971</v>
      </c>
      <c r="AE11" s="503" t="s">
        <v>1597</v>
      </c>
      <c r="AF11" s="503"/>
      <c r="AG11" s="503"/>
      <c r="AH11" s="503"/>
    </row>
    <row r="12" spans="1:34" x14ac:dyDescent="0.35">
      <c r="A12" s="107" t="s">
        <v>1477</v>
      </c>
      <c r="B12" s="134" t="s">
        <v>781</v>
      </c>
      <c r="C12" s="134" t="s">
        <v>1402</v>
      </c>
      <c r="D12" s="134" t="s">
        <v>1168</v>
      </c>
      <c r="E12" s="135" t="s">
        <v>1183</v>
      </c>
      <c r="F12" s="136" t="s">
        <v>1170</v>
      </c>
      <c r="G12" s="134" t="s">
        <v>1184</v>
      </c>
      <c r="H12" s="411"/>
      <c r="I12" s="444"/>
      <c r="J12" s="359"/>
      <c r="K12" s="359"/>
      <c r="L12" s="359"/>
      <c r="M12" s="359"/>
      <c r="N12" s="359"/>
      <c r="O12" s="359"/>
      <c r="P12" s="359"/>
      <c r="Q12" s="444"/>
      <c r="R12" s="446" t="s">
        <v>1485</v>
      </c>
      <c r="S12" s="444"/>
      <c r="T12" s="444"/>
      <c r="U12" s="409" t="s">
        <v>1486</v>
      </c>
      <c r="V12" s="447"/>
      <c r="W12" s="447"/>
      <c r="X12" s="447"/>
      <c r="Y12" s="447"/>
      <c r="Z12" s="447"/>
      <c r="AA12" s="446" t="s">
        <v>1485</v>
      </c>
      <c r="AB12" s="447"/>
      <c r="AC12" s="447"/>
      <c r="AD12" s="477">
        <v>45975</v>
      </c>
    </row>
    <row r="13" spans="1:34" x14ac:dyDescent="0.35">
      <c r="A13" s="107" t="s">
        <v>1477</v>
      </c>
      <c r="B13" t="s">
        <v>782</v>
      </c>
      <c r="C13" t="s">
        <v>1403</v>
      </c>
      <c r="D13" t="s">
        <v>1168</v>
      </c>
      <c r="E13" s="132" t="s">
        <v>1175</v>
      </c>
      <c r="F13" s="107" t="s">
        <v>1170</v>
      </c>
      <c r="G13" t="s">
        <v>1185</v>
      </c>
      <c r="H13" s="408"/>
      <c r="I13" s="443"/>
      <c r="J13" s="190"/>
      <c r="K13" s="190"/>
      <c r="L13" s="190"/>
      <c r="M13" s="381"/>
      <c r="N13" s="190"/>
      <c r="O13" s="382" t="s">
        <v>1486</v>
      </c>
      <c r="P13" s="443"/>
      <c r="Q13" s="443"/>
      <c r="R13" s="446" t="s">
        <v>1552</v>
      </c>
      <c r="S13" s="443"/>
      <c r="T13" s="443"/>
      <c r="U13" s="443"/>
      <c r="V13" s="190"/>
      <c r="W13" s="190"/>
      <c r="X13" s="190"/>
      <c r="Y13" s="190"/>
      <c r="Z13" s="409" t="s">
        <v>1486</v>
      </c>
      <c r="AA13" s="380"/>
      <c r="AB13" s="380"/>
      <c r="AC13" s="380"/>
      <c r="AD13" s="477">
        <v>45931</v>
      </c>
    </row>
    <row r="14" spans="1:34" ht="14.15" customHeight="1" x14ac:dyDescent="0.35">
      <c r="A14" s="107" t="s">
        <v>1477</v>
      </c>
      <c r="B14" s="134" t="s">
        <v>1186</v>
      </c>
      <c r="C14" s="134" t="s">
        <v>1225</v>
      </c>
      <c r="D14" s="134" t="s">
        <v>1163</v>
      </c>
      <c r="E14" s="135" t="s">
        <v>1187</v>
      </c>
      <c r="F14" s="136" t="s">
        <v>1188</v>
      </c>
      <c r="G14" s="134" t="s">
        <v>1190</v>
      </c>
      <c r="H14" s="411"/>
      <c r="I14" s="444"/>
      <c r="J14" s="359"/>
      <c r="K14" s="359"/>
      <c r="L14" s="359"/>
      <c r="M14" s="359"/>
      <c r="N14" s="359"/>
      <c r="O14" s="359"/>
      <c r="P14" s="359"/>
      <c r="Q14" s="444"/>
      <c r="R14" s="444"/>
      <c r="S14" s="444"/>
      <c r="T14" s="444"/>
      <c r="U14" s="444"/>
      <c r="V14" s="447"/>
      <c r="W14" s="386"/>
      <c r="X14" s="386"/>
      <c r="Y14" s="386"/>
      <c r="Z14" s="386"/>
      <c r="AA14" s="386"/>
      <c r="AB14" s="386"/>
      <c r="AC14" s="386"/>
    </row>
    <row r="15" spans="1:34" x14ac:dyDescent="0.35">
      <c r="A15" s="107" t="s">
        <v>1477</v>
      </c>
      <c r="B15" t="s">
        <v>1186</v>
      </c>
      <c r="C15" t="s">
        <v>1225</v>
      </c>
      <c r="D15" t="s">
        <v>1168</v>
      </c>
      <c r="E15" s="132" t="s">
        <v>1175</v>
      </c>
      <c r="F15" s="107" t="s">
        <v>1188</v>
      </c>
      <c r="G15" t="s">
        <v>1189</v>
      </c>
      <c r="H15" s="409" t="s">
        <v>1486</v>
      </c>
      <c r="I15" s="443"/>
      <c r="J15" s="190"/>
      <c r="K15" s="190"/>
      <c r="L15" s="190"/>
      <c r="M15" s="382" t="s">
        <v>1486</v>
      </c>
      <c r="N15" s="190"/>
      <c r="O15" s="190"/>
      <c r="P15" s="443"/>
      <c r="Q15" s="443"/>
      <c r="R15" s="443"/>
      <c r="S15" s="443"/>
      <c r="T15" s="443"/>
      <c r="U15" s="443"/>
      <c r="V15" s="190"/>
      <c r="W15" s="190"/>
      <c r="X15" s="190"/>
      <c r="Y15" s="190"/>
      <c r="Z15" s="190"/>
      <c r="AA15" s="190"/>
      <c r="AB15" s="190"/>
      <c r="AC15" s="380"/>
    </row>
    <row r="16" spans="1:34" x14ac:dyDescent="0.35">
      <c r="A16" s="107" t="s">
        <v>1477</v>
      </c>
      <c r="B16" s="134" t="s">
        <v>1191</v>
      </c>
      <c r="C16" s="134" t="s">
        <v>1404</v>
      </c>
      <c r="D16" s="134" t="s">
        <v>1168</v>
      </c>
      <c r="E16" s="135" t="s">
        <v>1192</v>
      </c>
      <c r="F16" s="136" t="s">
        <v>1170</v>
      </c>
      <c r="G16" s="134" t="s">
        <v>1193</v>
      </c>
      <c r="H16" s="409" t="s">
        <v>1486</v>
      </c>
      <c r="I16" s="444"/>
      <c r="J16" s="359"/>
      <c r="K16" s="359"/>
      <c r="L16" s="359"/>
      <c r="M16" s="359"/>
      <c r="N16" s="359"/>
      <c r="O16" s="359"/>
      <c r="P16" s="359"/>
      <c r="Q16" s="444"/>
      <c r="R16" s="444"/>
      <c r="S16" s="444"/>
      <c r="T16" s="444"/>
      <c r="U16" s="444"/>
      <c r="V16" s="446" t="s">
        <v>1485</v>
      </c>
      <c r="W16" s="447"/>
      <c r="X16" s="447"/>
      <c r="Y16" s="447"/>
      <c r="Z16" s="447"/>
      <c r="AA16" s="447"/>
      <c r="AB16" s="447"/>
      <c r="AC16" s="447"/>
    </row>
    <row r="17" spans="1:30" x14ac:dyDescent="0.35">
      <c r="A17" s="107" t="s">
        <v>1476</v>
      </c>
      <c r="B17" s="355" t="s">
        <v>781</v>
      </c>
      <c r="C17" s="355" t="s">
        <v>1475</v>
      </c>
      <c r="D17" s="355" t="s">
        <v>1168</v>
      </c>
      <c r="E17" s="356" t="s">
        <v>1192</v>
      </c>
      <c r="F17" s="357" t="s">
        <v>1170</v>
      </c>
      <c r="G17" s="355" t="s">
        <v>1436</v>
      </c>
      <c r="H17" s="408"/>
      <c r="I17" s="443"/>
      <c r="J17" s="190"/>
      <c r="K17" s="190"/>
      <c r="L17" s="190"/>
      <c r="M17" s="381"/>
      <c r="N17" s="385" t="s">
        <v>1485</v>
      </c>
      <c r="O17" s="190"/>
      <c r="P17" s="443"/>
      <c r="Q17" s="443"/>
      <c r="R17" s="443"/>
      <c r="S17" s="443"/>
      <c r="T17" s="443"/>
      <c r="U17" s="443"/>
      <c r="V17" s="190"/>
      <c r="W17" s="190"/>
      <c r="X17" s="190"/>
      <c r="Y17" s="190"/>
      <c r="Z17" s="190"/>
      <c r="AA17" s="190"/>
      <c r="AB17" s="190"/>
      <c r="AC17" s="380"/>
    </row>
    <row r="18" spans="1:30" x14ac:dyDescent="0.35">
      <c r="A18" s="107" t="s">
        <v>1476</v>
      </c>
      <c r="B18" s="355" t="s">
        <v>1167</v>
      </c>
      <c r="C18" s="355" t="s">
        <v>1401</v>
      </c>
      <c r="D18" s="355" t="s">
        <v>1163</v>
      </c>
      <c r="E18" s="356" t="s">
        <v>1181</v>
      </c>
      <c r="F18" s="357" t="s">
        <v>1165</v>
      </c>
      <c r="G18" s="355" t="s">
        <v>1478</v>
      </c>
      <c r="H18" s="408"/>
      <c r="I18" s="443"/>
      <c r="J18" s="190"/>
      <c r="K18" s="190"/>
      <c r="L18" s="190"/>
      <c r="M18" s="383"/>
      <c r="N18" s="190"/>
      <c r="O18" s="190"/>
      <c r="P18" s="443"/>
      <c r="Q18" s="443"/>
      <c r="R18" s="443"/>
      <c r="S18" s="443"/>
      <c r="T18" s="443"/>
      <c r="U18" s="446" t="s">
        <v>1485</v>
      </c>
      <c r="V18" s="190"/>
      <c r="W18" s="190"/>
      <c r="X18" s="190"/>
      <c r="Y18" s="190"/>
      <c r="Z18" s="190"/>
      <c r="AA18" s="479" t="s">
        <v>1486</v>
      </c>
      <c r="AB18" s="380"/>
      <c r="AC18" s="380"/>
      <c r="AD18" s="477">
        <v>45982</v>
      </c>
    </row>
    <row r="20" spans="1:30" x14ac:dyDescent="0.35">
      <c r="A20" s="67" t="s">
        <v>1558</v>
      </c>
      <c r="B20" s="190" t="s">
        <v>1559</v>
      </c>
      <c r="C20" s="190" t="s">
        <v>1220</v>
      </c>
      <c r="D20" s="190" t="s">
        <v>1163</v>
      </c>
      <c r="E20" s="190" t="s">
        <v>1556</v>
      </c>
      <c r="F20" s="190" t="s">
        <v>1557</v>
      </c>
      <c r="G20" s="190" t="s">
        <v>1555</v>
      </c>
      <c r="H20" s="67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479" t="s">
        <v>1486</v>
      </c>
      <c r="X20" s="190"/>
      <c r="Y20" s="190"/>
      <c r="Z20" s="190"/>
      <c r="AA20" s="190"/>
      <c r="AB20" s="190"/>
      <c r="AC20" s="380"/>
    </row>
    <row r="22" spans="1:30" x14ac:dyDescent="0.35">
      <c r="A22" s="491" t="s">
        <v>1593</v>
      </c>
      <c r="B22" s="492"/>
      <c r="C22" s="492"/>
      <c r="D22" s="492"/>
    </row>
  </sheetData>
  <autoFilter ref="A4:AD18" xr:uid="{00000000-0009-0000-0000-000007000000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7"/>
  <sheetViews>
    <sheetView workbookViewId="0">
      <selection activeCell="K2" sqref="K2"/>
    </sheetView>
  </sheetViews>
  <sheetFormatPr baseColWidth="10" defaultRowHeight="14.5" x14ac:dyDescent="0.35"/>
  <cols>
    <col min="1" max="1" width="11.54296875" bestFit="1" customWidth="1"/>
    <col min="2" max="2" width="13.453125" bestFit="1" customWidth="1"/>
    <col min="3" max="3" width="11.1796875" bestFit="1" customWidth="1"/>
    <col min="4" max="4" width="13.7265625" customWidth="1"/>
    <col min="5" max="5" width="6.54296875" bestFit="1" customWidth="1"/>
    <col min="6" max="6" width="13" style="107" bestFit="1" customWidth="1"/>
    <col min="7" max="7" width="33.453125" customWidth="1"/>
    <col min="8" max="8" width="39.453125" customWidth="1"/>
    <col min="9" max="9" width="11.7265625" style="412" bestFit="1" customWidth="1"/>
    <col min="10" max="10" width="33.54296875" bestFit="1" customWidth="1"/>
    <col min="11" max="11" width="20.1796875" customWidth="1"/>
    <col min="12" max="12" width="15.1796875" style="107" bestFit="1" customWidth="1"/>
  </cols>
  <sheetData>
    <row r="1" spans="1:12" x14ac:dyDescent="0.35">
      <c r="A1" s="361" t="s">
        <v>907</v>
      </c>
      <c r="B1" s="362" t="s">
        <v>908</v>
      </c>
      <c r="C1" s="362" t="s">
        <v>898</v>
      </c>
      <c r="D1" s="362" t="s">
        <v>899</v>
      </c>
      <c r="E1" s="362" t="s">
        <v>900</v>
      </c>
      <c r="F1" s="546" t="s">
        <v>901</v>
      </c>
      <c r="G1" s="362" t="s">
        <v>902</v>
      </c>
      <c r="H1" s="361" t="s">
        <v>903</v>
      </c>
      <c r="I1" s="547" t="s">
        <v>1491</v>
      </c>
      <c r="J1" s="361" t="s">
        <v>905</v>
      </c>
      <c r="K1" s="361" t="s">
        <v>906</v>
      </c>
      <c r="L1" s="546" t="s">
        <v>1487</v>
      </c>
    </row>
    <row r="2" spans="1:12" x14ac:dyDescent="0.35">
      <c r="B2" s="365"/>
      <c r="C2" s="365"/>
      <c r="D2" s="487"/>
      <c r="J2" s="107"/>
      <c r="L2" s="545"/>
    </row>
    <row r="3" spans="1:12" x14ac:dyDescent="0.35">
      <c r="B3" s="365"/>
      <c r="C3" s="365"/>
      <c r="D3" s="487"/>
      <c r="H3" s="488"/>
      <c r="I3" s="489"/>
      <c r="J3" s="488"/>
      <c r="K3" s="490"/>
      <c r="L3" s="364"/>
    </row>
    <row r="4" spans="1:12" x14ac:dyDescent="0.35">
      <c r="B4" s="324"/>
      <c r="C4" s="324"/>
      <c r="D4" s="487"/>
      <c r="H4" s="488"/>
      <c r="I4" s="489"/>
      <c r="J4" s="488"/>
      <c r="K4" s="207"/>
      <c r="L4" s="364"/>
    </row>
    <row r="5" spans="1:12" x14ac:dyDescent="0.35">
      <c r="D5" s="487"/>
      <c r="H5" s="488"/>
      <c r="I5" s="489"/>
      <c r="J5" s="488"/>
      <c r="K5" s="207"/>
      <c r="L5" s="455"/>
    </row>
    <row r="6" spans="1:12" x14ac:dyDescent="0.35">
      <c r="D6" s="487"/>
      <c r="H6" s="488"/>
      <c r="I6" s="489"/>
      <c r="J6" s="488"/>
      <c r="K6" s="207"/>
      <c r="L6" s="364"/>
    </row>
    <row r="7" spans="1:12" x14ac:dyDescent="0.35">
      <c r="D7" s="487"/>
      <c r="H7" s="488"/>
      <c r="I7" s="489"/>
      <c r="J7" s="488"/>
      <c r="K7" s="207"/>
      <c r="L7" s="364"/>
    </row>
  </sheetData>
  <conditionalFormatting sqref="D4 H4">
    <cfRule type="duplicateValues" dxfId="1" priority="1732"/>
  </conditionalFormatting>
  <conditionalFormatting sqref="D5">
    <cfRule type="duplicateValues" dxfId="0" priority="2"/>
  </conditionalFormatting>
  <pageMargins left="0.7" right="0.7" top="0.75" bottom="0.75" header="0.3" footer="0.3"/>
  <pageSetup paperSize="9" scale="58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P334"/>
  <sheetViews>
    <sheetView showGridLines="0" topLeftCell="A23" zoomScale="80" zoomScaleNormal="80" workbookViewId="0">
      <selection activeCell="M23" sqref="M23"/>
    </sheetView>
  </sheetViews>
  <sheetFormatPr baseColWidth="10" defaultColWidth="11.453125" defaultRowHeight="12" x14ac:dyDescent="0.3"/>
  <cols>
    <col min="1" max="1" width="5.1796875" style="2" bestFit="1" customWidth="1"/>
    <col min="2" max="2" width="10" style="2" customWidth="1"/>
    <col min="3" max="3" width="10.1796875" style="20" customWidth="1"/>
    <col min="4" max="4" width="12.81640625" style="20" customWidth="1"/>
    <col min="5" max="5" width="13" style="2" customWidth="1"/>
    <col min="6" max="6" width="11.26953125" style="2" customWidth="1"/>
    <col min="7" max="7" width="14.81640625" style="2" customWidth="1"/>
    <col min="8" max="8" width="15.26953125" style="2" customWidth="1"/>
    <col min="9" max="9" width="9.54296875" style="2" customWidth="1"/>
    <col min="10" max="10" width="16.26953125" style="2" customWidth="1"/>
    <col min="11" max="11" width="6.1796875" style="2" customWidth="1"/>
    <col min="12" max="12" width="11.453125" style="2"/>
    <col min="13" max="13" width="22.453125" style="2" bestFit="1" customWidth="1"/>
    <col min="14" max="14" width="25" style="2" bestFit="1" customWidth="1"/>
    <col min="15" max="15" width="16.26953125" style="2" bestFit="1" customWidth="1"/>
    <col min="16" max="155" width="5.54296875" style="2" bestFit="1" customWidth="1"/>
    <col min="156" max="156" width="10.453125" style="2" bestFit="1" customWidth="1"/>
    <col min="157" max="157" width="12" style="2" bestFit="1" customWidth="1"/>
    <col min="158" max="16384" width="11.453125" style="2"/>
  </cols>
  <sheetData>
    <row r="2" spans="1:16" x14ac:dyDescent="0.3">
      <c r="B2" s="199" t="s">
        <v>1422</v>
      </c>
    </row>
    <row r="3" spans="1:16" x14ac:dyDescent="0.3">
      <c r="B3" s="199" t="s">
        <v>1550</v>
      </c>
    </row>
    <row r="4" spans="1:16" x14ac:dyDescent="0.3">
      <c r="B4" s="199" t="s">
        <v>1797</v>
      </c>
    </row>
    <row r="5" spans="1:16" x14ac:dyDescent="0.3">
      <c r="B5" s="199"/>
    </row>
    <row r="6" spans="1:16" ht="14.5" x14ac:dyDescent="0.35">
      <c r="B6" s="66"/>
      <c r="E6" s="331"/>
      <c r="F6" s="20"/>
      <c r="G6" s="20"/>
      <c r="I6" s="20"/>
      <c r="K6" s="20"/>
      <c r="N6" s="513" t="s">
        <v>1595</v>
      </c>
      <c r="O6" t="s">
        <v>1635</v>
      </c>
    </row>
    <row r="7" spans="1:16" x14ac:dyDescent="0.3">
      <c r="A7" s="228" t="s">
        <v>1423</v>
      </c>
      <c r="B7" s="228" t="s">
        <v>1424</v>
      </c>
      <c r="C7" s="228" t="s">
        <v>1425</v>
      </c>
      <c r="D7" s="228" t="s">
        <v>1426</v>
      </c>
      <c r="E7" s="228" t="s">
        <v>1553</v>
      </c>
      <c r="F7" s="228" t="s">
        <v>1470</v>
      </c>
      <c r="G7" s="228" t="s">
        <v>1636</v>
      </c>
      <c r="H7" s="228" t="s">
        <v>1494</v>
      </c>
      <c r="I7" s="228" t="s">
        <v>1463</v>
      </c>
      <c r="J7" s="516" t="s">
        <v>1493</v>
      </c>
      <c r="K7" s="451"/>
    </row>
    <row r="8" spans="1:16" ht="14.5" x14ac:dyDescent="0.35">
      <c r="A8" s="519">
        <v>1</v>
      </c>
      <c r="B8" s="482" t="s">
        <v>1580</v>
      </c>
      <c r="C8" s="427" t="s">
        <v>1795</v>
      </c>
      <c r="D8" s="427"/>
      <c r="E8" s="427"/>
      <c r="F8" s="427"/>
      <c r="G8" s="427"/>
      <c r="H8" s="427"/>
      <c r="I8" s="427"/>
      <c r="J8" s="427"/>
      <c r="K8" s="561"/>
      <c r="N8" s="513" t="s">
        <v>1632</v>
      </c>
      <c r="O8" t="s">
        <v>1634</v>
      </c>
      <c r="P8"/>
    </row>
    <row r="9" spans="1:16" ht="14.5" x14ac:dyDescent="0.35">
      <c r="A9" s="563">
        <v>2</v>
      </c>
      <c r="B9" s="564" t="s">
        <v>1574</v>
      </c>
      <c r="C9" s="559" t="s">
        <v>1795</v>
      </c>
      <c r="D9" s="561">
        <v>1</v>
      </c>
      <c r="E9" s="562">
        <v>1</v>
      </c>
      <c r="F9" s="561">
        <v>1</v>
      </c>
      <c r="G9" s="561">
        <v>1</v>
      </c>
      <c r="H9" s="566">
        <v>1</v>
      </c>
      <c r="I9" s="560">
        <v>1</v>
      </c>
      <c r="J9" s="561">
        <v>1</v>
      </c>
      <c r="K9" s="431"/>
      <c r="N9" s="514" t="s">
        <v>1560</v>
      </c>
      <c r="O9" s="515">
        <v>4.5777777777777775</v>
      </c>
      <c r="P9"/>
    </row>
    <row r="10" spans="1:16" ht="14.5" x14ac:dyDescent="0.35">
      <c r="A10" s="563">
        <v>3</v>
      </c>
      <c r="B10" s="564" t="s">
        <v>1575</v>
      </c>
      <c r="C10" s="559" t="s">
        <v>1795</v>
      </c>
      <c r="D10" s="561">
        <v>1</v>
      </c>
      <c r="E10" s="562">
        <v>1</v>
      </c>
      <c r="F10" s="561">
        <v>1</v>
      </c>
      <c r="G10" s="561">
        <v>1</v>
      </c>
      <c r="H10" s="566">
        <v>1</v>
      </c>
      <c r="I10" s="561">
        <v>1</v>
      </c>
      <c r="J10" s="561">
        <v>1</v>
      </c>
      <c r="K10" s="453"/>
      <c r="N10" s="514" t="s">
        <v>1561</v>
      </c>
      <c r="O10" s="515">
        <v>3.2527777777777773</v>
      </c>
      <c r="P10"/>
    </row>
    <row r="11" spans="1:16" ht="14.5" x14ac:dyDescent="0.35">
      <c r="A11" s="563">
        <v>4</v>
      </c>
      <c r="B11" s="564" t="s">
        <v>1576</v>
      </c>
      <c r="C11" s="559" t="s">
        <v>1795</v>
      </c>
      <c r="D11" s="561">
        <v>1</v>
      </c>
      <c r="E11" s="562">
        <v>1</v>
      </c>
      <c r="F11" s="561">
        <v>1</v>
      </c>
      <c r="G11" s="561">
        <v>1</v>
      </c>
      <c r="H11" s="566">
        <v>1</v>
      </c>
      <c r="I11" s="561">
        <v>1</v>
      </c>
      <c r="J11" s="561">
        <v>1</v>
      </c>
      <c r="K11" s="426"/>
      <c r="N11" s="514" t="s">
        <v>1587</v>
      </c>
      <c r="O11" s="515">
        <v>3.2659722222222225</v>
      </c>
      <c r="P11"/>
    </row>
    <row r="12" spans="1:16" ht="14.5" x14ac:dyDescent="0.35">
      <c r="A12" s="563">
        <v>5</v>
      </c>
      <c r="B12" s="564" t="s">
        <v>1577</v>
      </c>
      <c r="C12" s="559" t="s">
        <v>1795</v>
      </c>
      <c r="D12" s="426">
        <v>1</v>
      </c>
      <c r="E12" s="522">
        <v>1</v>
      </c>
      <c r="F12" s="426">
        <v>1</v>
      </c>
      <c r="G12" s="426">
        <v>1</v>
      </c>
      <c r="H12" s="567">
        <v>1</v>
      </c>
      <c r="I12" s="426">
        <v>1</v>
      </c>
      <c r="J12" s="426">
        <v>1</v>
      </c>
      <c r="K12" s="426"/>
      <c r="N12" s="514" t="s">
        <v>1562</v>
      </c>
      <c r="O12" s="515">
        <v>2.9368055555555563</v>
      </c>
      <c r="P12"/>
    </row>
    <row r="13" spans="1:16" ht="14.5" x14ac:dyDescent="0.35">
      <c r="A13" s="563">
        <v>6</v>
      </c>
      <c r="B13" s="564" t="s">
        <v>1578</v>
      </c>
      <c r="C13" s="559" t="s">
        <v>1795</v>
      </c>
      <c r="D13" s="426">
        <v>1</v>
      </c>
      <c r="E13" s="522">
        <v>1</v>
      </c>
      <c r="F13" s="426">
        <v>1</v>
      </c>
      <c r="G13" s="426">
        <v>1</v>
      </c>
      <c r="H13" s="567">
        <v>1</v>
      </c>
      <c r="I13" s="426">
        <v>1</v>
      </c>
      <c r="J13" s="426"/>
      <c r="K13" s="483"/>
      <c r="N13" s="514" t="s">
        <v>1589</v>
      </c>
      <c r="O13" s="515">
        <v>4.5284722222222227</v>
      </c>
      <c r="P13"/>
    </row>
    <row r="14" spans="1:16" ht="14.5" x14ac:dyDescent="0.35">
      <c r="A14" s="519">
        <v>7</v>
      </c>
      <c r="B14" s="482" t="s">
        <v>1579</v>
      </c>
      <c r="C14" s="427" t="s">
        <v>1795</v>
      </c>
      <c r="D14" s="427"/>
      <c r="E14" s="523"/>
      <c r="F14" s="558">
        <v>1</v>
      </c>
      <c r="G14" s="558"/>
      <c r="H14" s="568"/>
      <c r="I14" s="427"/>
      <c r="J14" s="521"/>
      <c r="K14" s="451"/>
      <c r="N14" s="514" t="s">
        <v>1563</v>
      </c>
      <c r="O14" s="515">
        <v>5.25277777777778</v>
      </c>
      <c r="P14"/>
    </row>
    <row r="15" spans="1:16" ht="14.5" x14ac:dyDescent="0.35">
      <c r="A15" s="519">
        <v>8</v>
      </c>
      <c r="B15" s="482" t="s">
        <v>1580</v>
      </c>
      <c r="C15" s="427" t="s">
        <v>1795</v>
      </c>
      <c r="D15" s="427"/>
      <c r="E15" s="523"/>
      <c r="F15" s="558"/>
      <c r="G15" s="558"/>
      <c r="H15" s="568"/>
      <c r="I15" s="427"/>
      <c r="J15" s="521"/>
      <c r="K15" s="431"/>
      <c r="N15" s="514" t="s">
        <v>1564</v>
      </c>
      <c r="O15" s="515">
        <v>3.0520833333333317</v>
      </c>
      <c r="P15"/>
    </row>
    <row r="16" spans="1:16" ht="14.5" x14ac:dyDescent="0.35">
      <c r="A16" s="563">
        <v>9</v>
      </c>
      <c r="B16" s="564" t="s">
        <v>1574</v>
      </c>
      <c r="C16" s="559" t="s">
        <v>1795</v>
      </c>
      <c r="D16" s="559">
        <v>1</v>
      </c>
      <c r="E16" s="562">
        <v>1</v>
      </c>
      <c r="F16" s="561">
        <v>1</v>
      </c>
      <c r="G16" s="561">
        <v>1</v>
      </c>
      <c r="H16" s="566">
        <v>1</v>
      </c>
      <c r="I16" s="559">
        <v>1</v>
      </c>
      <c r="J16" s="561">
        <v>1</v>
      </c>
      <c r="K16" s="453"/>
      <c r="N16" s="514" t="s">
        <v>1591</v>
      </c>
      <c r="O16" s="515">
        <v>7.0055555555555564</v>
      </c>
      <c r="P16"/>
    </row>
    <row r="17" spans="1:16" ht="14.5" x14ac:dyDescent="0.35">
      <c r="A17" s="563">
        <v>10</v>
      </c>
      <c r="B17" s="564" t="s">
        <v>1575</v>
      </c>
      <c r="C17" s="559" t="s">
        <v>1795</v>
      </c>
      <c r="D17" s="559">
        <v>1</v>
      </c>
      <c r="E17" s="562">
        <v>1</v>
      </c>
      <c r="F17" s="561">
        <v>1</v>
      </c>
      <c r="G17" s="559">
        <v>1</v>
      </c>
      <c r="H17" s="566">
        <v>1</v>
      </c>
      <c r="I17" s="559">
        <v>1</v>
      </c>
      <c r="J17" s="561">
        <v>1</v>
      </c>
      <c r="K17" s="431"/>
      <c r="N17" s="514" t="s">
        <v>1633</v>
      </c>
      <c r="O17" s="515">
        <v>33.87222222222222</v>
      </c>
      <c r="P17"/>
    </row>
    <row r="18" spans="1:16" ht="14.5" x14ac:dyDescent="0.35">
      <c r="A18" s="563">
        <v>11</v>
      </c>
      <c r="B18" s="564" t="s">
        <v>1576</v>
      </c>
      <c r="C18" s="559" t="s">
        <v>1795</v>
      </c>
      <c r="D18" s="559">
        <v>1</v>
      </c>
      <c r="E18" s="562">
        <v>1</v>
      </c>
      <c r="F18" s="561">
        <v>1</v>
      </c>
      <c r="G18" s="559">
        <v>1</v>
      </c>
      <c r="H18" s="566">
        <v>1</v>
      </c>
      <c r="I18" s="559">
        <v>1</v>
      </c>
      <c r="J18" s="561">
        <v>1</v>
      </c>
      <c r="K18" s="485"/>
      <c r="N18"/>
      <c r="O18"/>
      <c r="P18"/>
    </row>
    <row r="19" spans="1:16" ht="14.5" x14ac:dyDescent="0.35">
      <c r="A19" s="563">
        <v>12</v>
      </c>
      <c r="B19" s="564" t="s">
        <v>1577</v>
      </c>
      <c r="C19" s="559" t="s">
        <v>1795</v>
      </c>
      <c r="D19" s="431">
        <v>1</v>
      </c>
      <c r="E19" s="522">
        <v>1</v>
      </c>
      <c r="F19" s="426">
        <v>1</v>
      </c>
      <c r="G19" s="426">
        <v>1</v>
      </c>
      <c r="H19" s="567">
        <v>1</v>
      </c>
      <c r="I19" s="431">
        <v>1</v>
      </c>
      <c r="J19" s="426">
        <v>1</v>
      </c>
      <c r="K19" s="426"/>
      <c r="N19"/>
      <c r="O19"/>
      <c r="P19"/>
    </row>
    <row r="20" spans="1:16" ht="14.5" x14ac:dyDescent="0.35">
      <c r="A20" s="563">
        <v>13</v>
      </c>
      <c r="B20" s="564" t="s">
        <v>1578</v>
      </c>
      <c r="C20" s="559" t="s">
        <v>1795</v>
      </c>
      <c r="D20" s="431">
        <v>1</v>
      </c>
      <c r="E20" s="522">
        <v>1</v>
      </c>
      <c r="F20" s="426">
        <v>1</v>
      </c>
      <c r="G20" s="426">
        <v>1</v>
      </c>
      <c r="H20" s="567">
        <v>1</v>
      </c>
      <c r="I20" s="431">
        <v>1</v>
      </c>
      <c r="J20" s="426">
        <v>1</v>
      </c>
      <c r="K20" s="483"/>
      <c r="N20"/>
      <c r="O20"/>
      <c r="P20"/>
    </row>
    <row r="21" spans="1:16" ht="14.5" x14ac:dyDescent="0.35">
      <c r="A21" s="519">
        <v>14</v>
      </c>
      <c r="B21" s="482" t="s">
        <v>1579</v>
      </c>
      <c r="C21" s="427" t="s">
        <v>1795</v>
      </c>
      <c r="D21" s="427"/>
      <c r="E21" s="558"/>
      <c r="F21" s="558">
        <v>1</v>
      </c>
      <c r="G21" s="558">
        <v>1</v>
      </c>
      <c r="H21" s="427"/>
      <c r="I21" s="427"/>
      <c r="J21" s="558">
        <v>1</v>
      </c>
      <c r="K21" s="483"/>
      <c r="N21"/>
      <c r="O21"/>
      <c r="P21"/>
    </row>
    <row r="22" spans="1:16" ht="14.5" x14ac:dyDescent="0.35">
      <c r="A22" s="519">
        <v>15</v>
      </c>
      <c r="B22" s="482" t="s">
        <v>1580</v>
      </c>
      <c r="C22" s="427" t="s">
        <v>1795</v>
      </c>
      <c r="D22" s="427"/>
      <c r="E22" s="558"/>
      <c r="F22" s="520"/>
      <c r="G22" s="558"/>
      <c r="H22" s="427"/>
      <c r="I22" s="427"/>
      <c r="J22" s="558"/>
      <c r="K22" s="431"/>
      <c r="N22"/>
      <c r="O22"/>
      <c r="P22"/>
    </row>
    <row r="23" spans="1:16" ht="14.5" x14ac:dyDescent="0.35">
      <c r="A23" s="555">
        <v>16</v>
      </c>
      <c r="B23" s="517" t="s">
        <v>1574</v>
      </c>
      <c r="C23" s="518" t="s">
        <v>1795</v>
      </c>
      <c r="D23" s="518"/>
      <c r="E23" s="556"/>
      <c r="F23" s="557"/>
      <c r="G23" s="556"/>
      <c r="H23" s="518"/>
      <c r="I23" s="518"/>
      <c r="J23" s="556"/>
      <c r="K23" s="453"/>
      <c r="N23"/>
      <c r="O23"/>
      <c r="P23"/>
    </row>
    <row r="24" spans="1:16" ht="14.5" x14ac:dyDescent="0.35">
      <c r="A24" s="555">
        <v>17</v>
      </c>
      <c r="B24" s="517" t="s">
        <v>1575</v>
      </c>
      <c r="C24" s="518" t="s">
        <v>1795</v>
      </c>
      <c r="D24" s="518"/>
      <c r="E24" s="518"/>
      <c r="F24" s="518">
        <v>1</v>
      </c>
      <c r="G24" s="518">
        <v>1</v>
      </c>
      <c r="H24" s="518"/>
      <c r="I24" s="518"/>
      <c r="J24" s="556">
        <v>1</v>
      </c>
      <c r="K24" s="431"/>
      <c r="N24"/>
      <c r="O24"/>
      <c r="P24"/>
    </row>
    <row r="25" spans="1:16" ht="14.5" x14ac:dyDescent="0.35">
      <c r="A25" s="563">
        <v>18</v>
      </c>
      <c r="B25" s="564" t="s">
        <v>1576</v>
      </c>
      <c r="C25" s="559" t="s">
        <v>1795</v>
      </c>
      <c r="D25" s="561">
        <v>1</v>
      </c>
      <c r="E25" s="561">
        <v>1</v>
      </c>
      <c r="F25" s="561">
        <v>1</v>
      </c>
      <c r="G25" s="561">
        <v>1</v>
      </c>
      <c r="H25" s="561">
        <v>1</v>
      </c>
      <c r="I25" s="561">
        <v>1</v>
      </c>
      <c r="J25" s="561">
        <v>1</v>
      </c>
      <c r="K25" s="426"/>
      <c r="N25"/>
      <c r="O25"/>
      <c r="P25"/>
    </row>
    <row r="26" spans="1:16" ht="14.5" x14ac:dyDescent="0.35">
      <c r="A26" s="563">
        <v>19</v>
      </c>
      <c r="B26" s="564" t="s">
        <v>1577</v>
      </c>
      <c r="C26" s="559" t="s">
        <v>1795</v>
      </c>
      <c r="D26" s="426">
        <v>1</v>
      </c>
      <c r="E26" s="426">
        <v>1</v>
      </c>
      <c r="F26" s="426">
        <v>1</v>
      </c>
      <c r="G26" s="426">
        <v>1</v>
      </c>
      <c r="H26" s="426">
        <v>1</v>
      </c>
      <c r="I26" s="426">
        <v>1</v>
      </c>
      <c r="J26" s="426">
        <v>1</v>
      </c>
      <c r="K26" s="426"/>
      <c r="N26"/>
      <c r="O26"/>
    </row>
    <row r="27" spans="1:16" ht="14.5" x14ac:dyDescent="0.35">
      <c r="A27" s="563">
        <v>20</v>
      </c>
      <c r="B27" s="564" t="s">
        <v>1578</v>
      </c>
      <c r="C27" s="559" t="s">
        <v>1795</v>
      </c>
      <c r="D27" s="426">
        <v>1</v>
      </c>
      <c r="E27" s="426">
        <v>1</v>
      </c>
      <c r="F27" s="426">
        <v>1</v>
      </c>
      <c r="G27" s="426">
        <v>1</v>
      </c>
      <c r="H27" s="426">
        <v>1</v>
      </c>
      <c r="I27" s="426">
        <v>1</v>
      </c>
      <c r="J27" s="426">
        <v>1</v>
      </c>
      <c r="K27" s="451"/>
      <c r="N27"/>
      <c r="O27"/>
    </row>
    <row r="28" spans="1:16" ht="14.5" x14ac:dyDescent="0.35">
      <c r="A28" s="519">
        <v>21</v>
      </c>
      <c r="B28" s="482" t="s">
        <v>1579</v>
      </c>
      <c r="C28" s="427" t="s">
        <v>1795</v>
      </c>
      <c r="D28" s="427"/>
      <c r="E28" s="558">
        <v>1</v>
      </c>
      <c r="F28" s="558"/>
      <c r="G28" s="558">
        <v>1</v>
      </c>
      <c r="H28" s="427">
        <v>1</v>
      </c>
      <c r="I28" s="523"/>
      <c r="J28" s="558">
        <v>1</v>
      </c>
      <c r="K28" s="451"/>
      <c r="N28"/>
      <c r="O28"/>
    </row>
    <row r="29" spans="1:16" ht="14.5" x14ac:dyDescent="0.35">
      <c r="A29" s="519">
        <v>22</v>
      </c>
      <c r="B29" s="482" t="s">
        <v>1580</v>
      </c>
      <c r="C29" s="427" t="s">
        <v>1795</v>
      </c>
      <c r="D29" s="427"/>
      <c r="E29" s="558"/>
      <c r="F29" s="558"/>
      <c r="G29" s="558"/>
      <c r="H29" s="427"/>
      <c r="I29" s="523"/>
      <c r="J29" s="427"/>
      <c r="K29" s="451"/>
      <c r="N29"/>
      <c r="O29"/>
    </row>
    <row r="30" spans="1:16" ht="14.5" x14ac:dyDescent="0.35">
      <c r="A30" s="563">
        <v>23</v>
      </c>
      <c r="B30" s="564" t="s">
        <v>1574</v>
      </c>
      <c r="C30" s="559" t="s">
        <v>1795</v>
      </c>
      <c r="D30" s="561">
        <v>1</v>
      </c>
      <c r="E30" s="561">
        <v>1</v>
      </c>
      <c r="F30" s="561">
        <v>1</v>
      </c>
      <c r="G30" s="561">
        <v>1</v>
      </c>
      <c r="H30" s="561">
        <v>1</v>
      </c>
      <c r="I30" s="561">
        <v>1</v>
      </c>
      <c r="J30" s="561">
        <v>1</v>
      </c>
      <c r="K30" s="453"/>
      <c r="N30"/>
      <c r="O30"/>
    </row>
    <row r="31" spans="1:16" ht="14.5" x14ac:dyDescent="0.35">
      <c r="A31" s="563">
        <v>24</v>
      </c>
      <c r="B31" s="564" t="s">
        <v>1575</v>
      </c>
      <c r="C31" s="559" t="s">
        <v>1795</v>
      </c>
      <c r="D31" s="561">
        <v>1</v>
      </c>
      <c r="E31" s="561">
        <v>1</v>
      </c>
      <c r="F31" s="561">
        <v>1</v>
      </c>
      <c r="G31" s="561">
        <v>1</v>
      </c>
      <c r="H31" s="561">
        <v>1</v>
      </c>
      <c r="I31" s="561">
        <v>1</v>
      </c>
      <c r="J31" s="561">
        <v>1</v>
      </c>
      <c r="K31" s="452"/>
      <c r="N31"/>
      <c r="O31"/>
    </row>
    <row r="32" spans="1:16" ht="14.5" x14ac:dyDescent="0.35">
      <c r="A32" s="563">
        <v>25</v>
      </c>
      <c r="B32" s="564" t="s">
        <v>1576</v>
      </c>
      <c r="C32" s="559" t="s">
        <v>1795</v>
      </c>
      <c r="D32" s="561">
        <v>1</v>
      </c>
      <c r="E32" s="561">
        <v>1</v>
      </c>
      <c r="F32" s="561">
        <v>1</v>
      </c>
      <c r="G32" s="561">
        <v>1</v>
      </c>
      <c r="H32" s="561">
        <v>1</v>
      </c>
      <c r="I32" s="561">
        <v>1</v>
      </c>
      <c r="J32" s="561">
        <v>1</v>
      </c>
      <c r="K32" s="485"/>
      <c r="N32"/>
      <c r="O32"/>
    </row>
    <row r="33" spans="1:15" ht="14.5" x14ac:dyDescent="0.35">
      <c r="A33" s="563">
        <v>26</v>
      </c>
      <c r="B33" s="564" t="s">
        <v>1577</v>
      </c>
      <c r="C33" s="559" t="s">
        <v>1795</v>
      </c>
      <c r="D33" s="426">
        <v>1</v>
      </c>
      <c r="E33" s="426">
        <v>1</v>
      </c>
      <c r="F33" s="426">
        <v>1</v>
      </c>
      <c r="G33" s="426">
        <v>1</v>
      </c>
      <c r="H33" s="426">
        <v>1</v>
      </c>
      <c r="I33" s="426">
        <v>1</v>
      </c>
      <c r="J33" s="426">
        <v>1</v>
      </c>
      <c r="K33" s="426"/>
      <c r="N33"/>
      <c r="O33"/>
    </row>
    <row r="34" spans="1:15" ht="14.5" x14ac:dyDescent="0.35">
      <c r="A34" s="563">
        <v>27</v>
      </c>
      <c r="B34" s="564" t="s">
        <v>1578</v>
      </c>
      <c r="C34" s="559" t="s">
        <v>1795</v>
      </c>
      <c r="D34" s="426">
        <v>1</v>
      </c>
      <c r="E34" s="426">
        <v>1</v>
      </c>
      <c r="F34" s="426">
        <v>1</v>
      </c>
      <c r="G34" s="426">
        <v>1</v>
      </c>
      <c r="H34" s="426">
        <v>1</v>
      </c>
      <c r="I34" s="426">
        <v>1</v>
      </c>
      <c r="J34" s="426">
        <v>1</v>
      </c>
      <c r="K34" s="451"/>
      <c r="N34"/>
      <c r="O34"/>
    </row>
    <row r="35" spans="1:15" ht="14.5" x14ac:dyDescent="0.35">
      <c r="A35" s="519">
        <v>28</v>
      </c>
      <c r="B35" s="482" t="s">
        <v>1579</v>
      </c>
      <c r="C35" s="427" t="s">
        <v>1795</v>
      </c>
      <c r="D35" s="427"/>
      <c r="E35" s="565"/>
      <c r="F35" s="558"/>
      <c r="G35" s="558"/>
      <c r="H35" s="427"/>
      <c r="I35" s="523"/>
      <c r="J35" s="427"/>
      <c r="K35" s="451"/>
      <c r="N35"/>
      <c r="O35"/>
    </row>
    <row r="36" spans="1:15" ht="14.5" x14ac:dyDescent="0.35">
      <c r="A36" s="20"/>
      <c r="B36" s="481"/>
      <c r="C36" s="431"/>
      <c r="D36" s="431"/>
      <c r="E36" s="426"/>
      <c r="F36" s="426"/>
      <c r="G36" s="426"/>
      <c r="H36" s="431"/>
      <c r="I36" s="431"/>
      <c r="J36" s="431"/>
      <c r="K36" s="426"/>
      <c r="N36"/>
      <c r="O36"/>
    </row>
    <row r="37" spans="1:15" ht="14.5" x14ac:dyDescent="0.35">
      <c r="A37" s="20"/>
      <c r="B37" s="327"/>
      <c r="C37" s="413"/>
      <c r="D37" s="20">
        <f t="shared" ref="D37:K37" si="0">SUM(D8:D35)</f>
        <v>18</v>
      </c>
      <c r="E37" s="20">
        <f t="shared" si="0"/>
        <v>19</v>
      </c>
      <c r="F37" s="20">
        <f t="shared" si="0"/>
        <v>21</v>
      </c>
      <c r="G37" s="20">
        <f t="shared" si="0"/>
        <v>21</v>
      </c>
      <c r="H37" s="20">
        <f t="shared" si="0"/>
        <v>19</v>
      </c>
      <c r="I37" s="20">
        <f t="shared" si="0"/>
        <v>18</v>
      </c>
      <c r="J37" s="20">
        <f t="shared" si="0"/>
        <v>20</v>
      </c>
      <c r="K37" s="20">
        <f t="shared" si="0"/>
        <v>0</v>
      </c>
      <c r="N37"/>
      <c r="O37"/>
    </row>
    <row r="38" spans="1:15" ht="15" thickBot="1" x14ac:dyDescent="0.4">
      <c r="B38" s="327"/>
      <c r="N38"/>
      <c r="O38"/>
    </row>
    <row r="39" spans="1:15" ht="15" thickBot="1" x14ac:dyDescent="0.4">
      <c r="B39" s="327"/>
      <c r="C39" s="414" t="s">
        <v>1429</v>
      </c>
      <c r="D39" s="664" t="s">
        <v>1427</v>
      </c>
      <c r="E39" s="664"/>
      <c r="F39" s="664"/>
      <c r="G39" s="664"/>
      <c r="H39" s="664"/>
      <c r="I39" s="664"/>
      <c r="J39" s="665"/>
      <c r="K39" s="201" t="s">
        <v>1214</v>
      </c>
      <c r="N39"/>
      <c r="O39"/>
    </row>
    <row r="40" spans="1:15" ht="15" thickBot="1" x14ac:dyDescent="0.4">
      <c r="B40" s="327"/>
      <c r="C40" s="415">
        <f>+D37</f>
        <v>18</v>
      </c>
      <c r="D40" s="200"/>
      <c r="E40" s="200">
        <f>+E37*0.2</f>
        <v>3.8000000000000003</v>
      </c>
      <c r="F40" s="200">
        <f>+F37*0.2</f>
        <v>4.2</v>
      </c>
      <c r="G40" s="200">
        <f>+G37*0.2</f>
        <v>4.2</v>
      </c>
      <c r="H40" s="200">
        <f>+H37*0.2</f>
        <v>3.8000000000000003</v>
      </c>
      <c r="I40" s="200">
        <f>+I37*0.2</f>
        <v>3.6</v>
      </c>
      <c r="J40" s="200"/>
      <c r="K40" s="329">
        <f>+SUM(E40:I40)/C40</f>
        <v>1.088888888888889</v>
      </c>
      <c r="N40"/>
      <c r="O40"/>
    </row>
    <row r="41" spans="1:15" ht="15" thickBot="1" x14ac:dyDescent="0.4">
      <c r="B41" s="330"/>
      <c r="C41" s="415"/>
      <c r="E41" s="66"/>
      <c r="F41" s="66"/>
      <c r="G41" s="66"/>
      <c r="H41" s="66"/>
      <c r="I41" s="66"/>
      <c r="J41" s="66"/>
      <c r="K41" s="329"/>
      <c r="N41"/>
      <c r="O41"/>
    </row>
    <row r="42" spans="1:15" ht="14.5" x14ac:dyDescent="0.35">
      <c r="B42" s="330"/>
      <c r="C42" s="666"/>
      <c r="D42" s="666"/>
      <c r="N42"/>
      <c r="O42"/>
    </row>
    <row r="43" spans="1:15" ht="14.5" x14ac:dyDescent="0.35">
      <c r="N43"/>
      <c r="O43"/>
    </row>
    <row r="44" spans="1:15" ht="14.5" x14ac:dyDescent="0.35">
      <c r="B44" s="102" t="s">
        <v>1594</v>
      </c>
      <c r="D44" s="459"/>
      <c r="N44"/>
      <c r="O44"/>
    </row>
    <row r="45" spans="1:15" ht="14.5" x14ac:dyDescent="0.35">
      <c r="C45" s="459"/>
      <c r="D45" s="480"/>
      <c r="N45"/>
      <c r="O45"/>
    </row>
    <row r="46" spans="1:15" ht="14.5" x14ac:dyDescent="0.35">
      <c r="D46" s="459">
        <v>1</v>
      </c>
      <c r="E46" s="2" t="s">
        <v>1796</v>
      </c>
      <c r="N46"/>
      <c r="O46"/>
    </row>
    <row r="47" spans="1:15" ht="14.5" x14ac:dyDescent="0.35">
      <c r="D47" s="524">
        <v>1</v>
      </c>
      <c r="E47" s="95" t="s">
        <v>1637</v>
      </c>
      <c r="N47"/>
      <c r="O47"/>
    </row>
    <row r="48" spans="1:15" ht="14.5" x14ac:dyDescent="0.35">
      <c r="D48" s="524"/>
      <c r="N48"/>
      <c r="O48"/>
    </row>
    <row r="49" spans="4:15" ht="14.5" x14ac:dyDescent="0.35">
      <c r="D49" s="525"/>
      <c r="N49"/>
      <c r="O49"/>
    </row>
    <row r="50" spans="4:15" ht="14.5" x14ac:dyDescent="0.35">
      <c r="N50"/>
      <c r="O50"/>
    </row>
    <row r="51" spans="4:15" ht="14.5" x14ac:dyDescent="0.35">
      <c r="N51"/>
      <c r="O51"/>
    </row>
    <row r="52" spans="4:15" ht="14.5" x14ac:dyDescent="0.35">
      <c r="N52"/>
      <c r="O52"/>
    </row>
    <row r="53" spans="4:15" ht="14.5" x14ac:dyDescent="0.35">
      <c r="N53"/>
      <c r="O53"/>
    </row>
    <row r="54" spans="4:15" ht="14.5" x14ac:dyDescent="0.35">
      <c r="N54"/>
      <c r="O54"/>
    </row>
    <row r="55" spans="4:15" ht="14.5" x14ac:dyDescent="0.35">
      <c r="N55"/>
      <c r="O55"/>
    </row>
    <row r="56" spans="4:15" ht="14.5" x14ac:dyDescent="0.35">
      <c r="N56"/>
      <c r="O56"/>
    </row>
    <row r="57" spans="4:15" ht="14.5" x14ac:dyDescent="0.35">
      <c r="N57"/>
      <c r="O57"/>
    </row>
    <row r="58" spans="4:15" ht="14.5" x14ac:dyDescent="0.35">
      <c r="N58"/>
      <c r="O58"/>
    </row>
    <row r="59" spans="4:15" ht="14.5" x14ac:dyDescent="0.35">
      <c r="N59"/>
      <c r="O59"/>
    </row>
    <row r="60" spans="4:15" ht="14.5" x14ac:dyDescent="0.35">
      <c r="N60"/>
      <c r="O60"/>
    </row>
    <row r="61" spans="4:15" ht="14.5" x14ac:dyDescent="0.35">
      <c r="N61"/>
      <c r="O61"/>
    </row>
    <row r="62" spans="4:15" ht="14.5" x14ac:dyDescent="0.35">
      <c r="N62"/>
      <c r="O62"/>
    </row>
    <row r="63" spans="4:15" ht="14.5" x14ac:dyDescent="0.35">
      <c r="N63"/>
      <c r="O63"/>
    </row>
    <row r="64" spans="4:15" ht="14.5" x14ac:dyDescent="0.35">
      <c r="N64"/>
      <c r="O64"/>
    </row>
    <row r="65" spans="14:15" ht="14.5" x14ac:dyDescent="0.35">
      <c r="N65"/>
      <c r="O65"/>
    </row>
    <row r="66" spans="14:15" ht="14.5" x14ac:dyDescent="0.35">
      <c r="N66"/>
      <c r="O66"/>
    </row>
    <row r="67" spans="14:15" ht="14.5" x14ac:dyDescent="0.35">
      <c r="N67"/>
      <c r="O67"/>
    </row>
    <row r="68" spans="14:15" ht="14.5" x14ac:dyDescent="0.35">
      <c r="N68"/>
      <c r="O68"/>
    </row>
    <row r="69" spans="14:15" ht="14.5" x14ac:dyDescent="0.35">
      <c r="N69"/>
      <c r="O69"/>
    </row>
    <row r="70" spans="14:15" ht="14.5" x14ac:dyDescent="0.35">
      <c r="N70"/>
      <c r="O70"/>
    </row>
    <row r="71" spans="14:15" ht="14.5" x14ac:dyDescent="0.35">
      <c r="N71"/>
      <c r="O71"/>
    </row>
    <row r="72" spans="14:15" ht="14.5" x14ac:dyDescent="0.35">
      <c r="N72"/>
      <c r="O72"/>
    </row>
    <row r="73" spans="14:15" ht="14.5" x14ac:dyDescent="0.35">
      <c r="N73"/>
      <c r="O73"/>
    </row>
    <row r="74" spans="14:15" ht="14.5" x14ac:dyDescent="0.35">
      <c r="N74"/>
      <c r="O74"/>
    </row>
    <row r="75" spans="14:15" ht="14.5" x14ac:dyDescent="0.35">
      <c r="N75"/>
      <c r="O75"/>
    </row>
    <row r="76" spans="14:15" ht="14.5" x14ac:dyDescent="0.35">
      <c r="N76"/>
      <c r="O76"/>
    </row>
    <row r="77" spans="14:15" ht="14.5" x14ac:dyDescent="0.35">
      <c r="N77"/>
      <c r="O77"/>
    </row>
    <row r="78" spans="14:15" ht="14.5" x14ac:dyDescent="0.35">
      <c r="N78"/>
      <c r="O78"/>
    </row>
    <row r="79" spans="14:15" ht="14.5" x14ac:dyDescent="0.35">
      <c r="N79"/>
      <c r="O79"/>
    </row>
    <row r="80" spans="14:15" ht="14.5" x14ac:dyDescent="0.35">
      <c r="N80"/>
      <c r="O80"/>
    </row>
    <row r="81" spans="14:15" ht="14.5" x14ac:dyDescent="0.35">
      <c r="N81"/>
      <c r="O81"/>
    </row>
    <row r="82" spans="14:15" ht="14.5" x14ac:dyDescent="0.35">
      <c r="N82"/>
      <c r="O82"/>
    </row>
    <row r="83" spans="14:15" ht="14.5" x14ac:dyDescent="0.35">
      <c r="N83"/>
      <c r="O83"/>
    </row>
    <row r="84" spans="14:15" ht="14.5" x14ac:dyDescent="0.35">
      <c r="N84"/>
      <c r="O84"/>
    </row>
    <row r="85" spans="14:15" ht="14.5" x14ac:dyDescent="0.35">
      <c r="N85"/>
      <c r="O85"/>
    </row>
    <row r="86" spans="14:15" ht="14.5" x14ac:dyDescent="0.35">
      <c r="N86"/>
      <c r="O86"/>
    </row>
    <row r="87" spans="14:15" ht="14.5" x14ac:dyDescent="0.35">
      <c r="N87"/>
      <c r="O87"/>
    </row>
    <row r="88" spans="14:15" ht="14.5" x14ac:dyDescent="0.35">
      <c r="N88"/>
      <c r="O88"/>
    </row>
    <row r="89" spans="14:15" ht="14.5" x14ac:dyDescent="0.35">
      <c r="N89"/>
      <c r="O89"/>
    </row>
    <row r="90" spans="14:15" ht="14.5" x14ac:dyDescent="0.35">
      <c r="N90"/>
      <c r="O90"/>
    </row>
    <row r="91" spans="14:15" ht="14.5" x14ac:dyDescent="0.35">
      <c r="N91"/>
      <c r="O91"/>
    </row>
    <row r="92" spans="14:15" ht="14.5" x14ac:dyDescent="0.35">
      <c r="N92"/>
      <c r="O92"/>
    </row>
    <row r="93" spans="14:15" ht="14.5" x14ac:dyDescent="0.35">
      <c r="N93"/>
      <c r="O93"/>
    </row>
    <row r="94" spans="14:15" ht="14.5" x14ac:dyDescent="0.35">
      <c r="N94"/>
      <c r="O94"/>
    </row>
    <row r="95" spans="14:15" ht="14.5" x14ac:dyDescent="0.35">
      <c r="N95"/>
      <c r="O95"/>
    </row>
    <row r="96" spans="14:15" ht="14.5" x14ac:dyDescent="0.35">
      <c r="N96"/>
      <c r="O96"/>
    </row>
    <row r="97" spans="14:15" ht="14.5" x14ac:dyDescent="0.35">
      <c r="N97"/>
      <c r="O97"/>
    </row>
    <row r="98" spans="14:15" ht="14.5" x14ac:dyDescent="0.35">
      <c r="N98"/>
      <c r="O98"/>
    </row>
    <row r="99" spans="14:15" ht="14.5" x14ac:dyDescent="0.35">
      <c r="N99"/>
      <c r="O99"/>
    </row>
    <row r="100" spans="14:15" ht="14.5" x14ac:dyDescent="0.35">
      <c r="N100"/>
      <c r="O100"/>
    </row>
    <row r="101" spans="14:15" ht="14.5" x14ac:dyDescent="0.35">
      <c r="N101"/>
      <c r="O101"/>
    </row>
    <row r="102" spans="14:15" ht="14.5" x14ac:dyDescent="0.35">
      <c r="N102"/>
      <c r="O102"/>
    </row>
    <row r="103" spans="14:15" ht="14.5" x14ac:dyDescent="0.35">
      <c r="N103"/>
      <c r="O103"/>
    </row>
    <row r="104" spans="14:15" ht="14.5" x14ac:dyDescent="0.35">
      <c r="N104"/>
      <c r="O104"/>
    </row>
    <row r="105" spans="14:15" ht="14.5" x14ac:dyDescent="0.35">
      <c r="N105"/>
      <c r="O105"/>
    </row>
    <row r="106" spans="14:15" ht="14.5" x14ac:dyDescent="0.35">
      <c r="N106"/>
      <c r="O106"/>
    </row>
    <row r="107" spans="14:15" ht="14.5" x14ac:dyDescent="0.35">
      <c r="N107"/>
      <c r="O107"/>
    </row>
    <row r="108" spans="14:15" ht="14.5" x14ac:dyDescent="0.35">
      <c r="N108"/>
      <c r="O108"/>
    </row>
    <row r="109" spans="14:15" ht="14.5" x14ac:dyDescent="0.35">
      <c r="N109"/>
      <c r="O109"/>
    </row>
    <row r="110" spans="14:15" ht="14.5" x14ac:dyDescent="0.35">
      <c r="N110"/>
      <c r="O110"/>
    </row>
    <row r="111" spans="14:15" ht="14.5" x14ac:dyDescent="0.35">
      <c r="N111"/>
      <c r="O111"/>
    </row>
    <row r="112" spans="14:15" ht="14.5" x14ac:dyDescent="0.35">
      <c r="N112"/>
      <c r="O112"/>
    </row>
    <row r="113" spans="14:15" ht="14.5" x14ac:dyDescent="0.35">
      <c r="N113"/>
      <c r="O113"/>
    </row>
    <row r="114" spans="14:15" ht="14.5" x14ac:dyDescent="0.35">
      <c r="N114"/>
      <c r="O114"/>
    </row>
    <row r="115" spans="14:15" ht="14.5" x14ac:dyDescent="0.35">
      <c r="N115"/>
      <c r="O115"/>
    </row>
    <row r="116" spans="14:15" ht="14.5" x14ac:dyDescent="0.35">
      <c r="N116"/>
      <c r="O116"/>
    </row>
    <row r="117" spans="14:15" ht="14.5" x14ac:dyDescent="0.35">
      <c r="N117"/>
      <c r="O117"/>
    </row>
    <row r="118" spans="14:15" ht="14.5" x14ac:dyDescent="0.35">
      <c r="N118"/>
      <c r="O118"/>
    </row>
    <row r="119" spans="14:15" ht="14.5" x14ac:dyDescent="0.35">
      <c r="N119"/>
      <c r="O119"/>
    </row>
    <row r="120" spans="14:15" ht="14.5" x14ac:dyDescent="0.35">
      <c r="N120"/>
      <c r="O120"/>
    </row>
    <row r="121" spans="14:15" ht="14.5" x14ac:dyDescent="0.35">
      <c r="N121"/>
      <c r="O121"/>
    </row>
    <row r="122" spans="14:15" ht="14.5" x14ac:dyDescent="0.35">
      <c r="N122"/>
      <c r="O122"/>
    </row>
    <row r="123" spans="14:15" ht="14.5" x14ac:dyDescent="0.35">
      <c r="N123"/>
      <c r="O123"/>
    </row>
    <row r="124" spans="14:15" ht="14.5" x14ac:dyDescent="0.35">
      <c r="N124"/>
      <c r="O124"/>
    </row>
    <row r="125" spans="14:15" ht="14.5" x14ac:dyDescent="0.35">
      <c r="N125"/>
      <c r="O125"/>
    </row>
    <row r="126" spans="14:15" ht="14.5" x14ac:dyDescent="0.35">
      <c r="N126"/>
      <c r="O126"/>
    </row>
    <row r="127" spans="14:15" ht="14.5" x14ac:dyDescent="0.35">
      <c r="N127"/>
      <c r="O127"/>
    </row>
    <row r="128" spans="14:15" ht="14.5" x14ac:dyDescent="0.35">
      <c r="N128"/>
      <c r="O128"/>
    </row>
    <row r="129" spans="14:15" ht="14.5" x14ac:dyDescent="0.35">
      <c r="N129"/>
      <c r="O129"/>
    </row>
    <row r="130" spans="14:15" ht="14.5" x14ac:dyDescent="0.35">
      <c r="N130"/>
      <c r="O130"/>
    </row>
    <row r="131" spans="14:15" ht="14.5" x14ac:dyDescent="0.35">
      <c r="N131"/>
      <c r="O131"/>
    </row>
    <row r="132" spans="14:15" ht="14.5" x14ac:dyDescent="0.35">
      <c r="N132"/>
      <c r="O132"/>
    </row>
    <row r="133" spans="14:15" ht="14.5" x14ac:dyDescent="0.35">
      <c r="N133"/>
      <c r="O133"/>
    </row>
    <row r="134" spans="14:15" ht="14.5" x14ac:dyDescent="0.35">
      <c r="N134"/>
      <c r="O134"/>
    </row>
    <row r="135" spans="14:15" ht="14.5" x14ac:dyDescent="0.35">
      <c r="N135"/>
      <c r="O135"/>
    </row>
    <row r="136" spans="14:15" ht="14.5" x14ac:dyDescent="0.35">
      <c r="N136"/>
      <c r="O136"/>
    </row>
    <row r="137" spans="14:15" ht="14.5" x14ac:dyDescent="0.35">
      <c r="N137"/>
      <c r="O137"/>
    </row>
    <row r="138" spans="14:15" ht="14.5" x14ac:dyDescent="0.35">
      <c r="N138"/>
      <c r="O138"/>
    </row>
    <row r="139" spans="14:15" ht="14.5" x14ac:dyDescent="0.35">
      <c r="N139"/>
      <c r="O139"/>
    </row>
    <row r="140" spans="14:15" ht="14.5" x14ac:dyDescent="0.35">
      <c r="N140"/>
      <c r="O140"/>
    </row>
    <row r="141" spans="14:15" ht="14.5" x14ac:dyDescent="0.35">
      <c r="N141"/>
      <c r="O141"/>
    </row>
    <row r="142" spans="14:15" ht="14.5" x14ac:dyDescent="0.35">
      <c r="N142"/>
      <c r="O142"/>
    </row>
    <row r="143" spans="14:15" ht="14.5" x14ac:dyDescent="0.35">
      <c r="N143"/>
      <c r="O143"/>
    </row>
    <row r="144" spans="14:15" ht="14.5" x14ac:dyDescent="0.35">
      <c r="N144"/>
      <c r="O144"/>
    </row>
    <row r="145" spans="14:15" ht="14.5" x14ac:dyDescent="0.35">
      <c r="N145"/>
      <c r="O145"/>
    </row>
    <row r="146" spans="14:15" ht="14.5" x14ac:dyDescent="0.35">
      <c r="N146"/>
      <c r="O146"/>
    </row>
    <row r="147" spans="14:15" ht="14.5" x14ac:dyDescent="0.35">
      <c r="N147"/>
      <c r="O147"/>
    </row>
    <row r="148" spans="14:15" ht="14.5" x14ac:dyDescent="0.35">
      <c r="N148"/>
      <c r="O148"/>
    </row>
    <row r="149" spans="14:15" ht="14.5" x14ac:dyDescent="0.35">
      <c r="N149"/>
      <c r="O149"/>
    </row>
    <row r="150" spans="14:15" ht="14.5" x14ac:dyDescent="0.35">
      <c r="N150"/>
      <c r="O150"/>
    </row>
    <row r="151" spans="14:15" ht="14.5" x14ac:dyDescent="0.35">
      <c r="N151"/>
      <c r="O151"/>
    </row>
    <row r="152" spans="14:15" ht="14.5" x14ac:dyDescent="0.35">
      <c r="N152"/>
      <c r="O152"/>
    </row>
    <row r="153" spans="14:15" ht="14.5" x14ac:dyDescent="0.35">
      <c r="N153"/>
      <c r="O153"/>
    </row>
    <row r="154" spans="14:15" ht="14.5" x14ac:dyDescent="0.35">
      <c r="N154"/>
      <c r="O154"/>
    </row>
    <row r="155" spans="14:15" ht="14.5" x14ac:dyDescent="0.35">
      <c r="N155"/>
      <c r="O155"/>
    </row>
    <row r="156" spans="14:15" ht="14.5" x14ac:dyDescent="0.35">
      <c r="N156"/>
      <c r="O156"/>
    </row>
    <row r="157" spans="14:15" ht="14.5" x14ac:dyDescent="0.35">
      <c r="N157"/>
      <c r="O157"/>
    </row>
    <row r="158" spans="14:15" ht="14.5" x14ac:dyDescent="0.35">
      <c r="N158"/>
      <c r="O158"/>
    </row>
    <row r="159" spans="14:15" ht="14.5" x14ac:dyDescent="0.35">
      <c r="N159"/>
      <c r="O159"/>
    </row>
    <row r="160" spans="14:15" ht="14.5" x14ac:dyDescent="0.35">
      <c r="N160"/>
      <c r="O160"/>
    </row>
    <row r="161" spans="14:15" ht="14.5" x14ac:dyDescent="0.35">
      <c r="N161"/>
      <c r="O161"/>
    </row>
    <row r="162" spans="14:15" ht="14.5" x14ac:dyDescent="0.35">
      <c r="N162"/>
      <c r="O162"/>
    </row>
    <row r="163" spans="14:15" ht="14.5" x14ac:dyDescent="0.35">
      <c r="N163"/>
      <c r="O163"/>
    </row>
    <row r="164" spans="14:15" ht="14.5" x14ac:dyDescent="0.35">
      <c r="N164"/>
      <c r="O164"/>
    </row>
    <row r="165" spans="14:15" ht="14.5" x14ac:dyDescent="0.35">
      <c r="N165"/>
      <c r="O165"/>
    </row>
    <row r="166" spans="14:15" ht="14.5" x14ac:dyDescent="0.35">
      <c r="N166"/>
      <c r="O166"/>
    </row>
    <row r="167" spans="14:15" ht="14.5" x14ac:dyDescent="0.35">
      <c r="N167"/>
      <c r="O167"/>
    </row>
    <row r="168" spans="14:15" ht="14.5" x14ac:dyDescent="0.35">
      <c r="N168"/>
      <c r="O168"/>
    </row>
    <row r="169" spans="14:15" ht="14.5" x14ac:dyDescent="0.35">
      <c r="N169"/>
      <c r="O169"/>
    </row>
    <row r="170" spans="14:15" ht="14.5" x14ac:dyDescent="0.35">
      <c r="N170"/>
      <c r="O170"/>
    </row>
    <row r="171" spans="14:15" ht="14.5" x14ac:dyDescent="0.35">
      <c r="N171"/>
      <c r="O171"/>
    </row>
    <row r="172" spans="14:15" ht="14.5" x14ac:dyDescent="0.35">
      <c r="N172"/>
      <c r="O172"/>
    </row>
    <row r="173" spans="14:15" ht="14.5" x14ac:dyDescent="0.35">
      <c r="N173"/>
      <c r="O173"/>
    </row>
    <row r="174" spans="14:15" ht="14.5" x14ac:dyDescent="0.35">
      <c r="N174"/>
      <c r="O174"/>
    </row>
    <row r="175" spans="14:15" ht="14.5" x14ac:dyDescent="0.35">
      <c r="N175"/>
      <c r="O175"/>
    </row>
    <row r="176" spans="14:15" ht="14.5" x14ac:dyDescent="0.35">
      <c r="N176"/>
      <c r="O176"/>
    </row>
    <row r="177" spans="14:15" ht="14.5" x14ac:dyDescent="0.35">
      <c r="N177"/>
      <c r="O177"/>
    </row>
    <row r="178" spans="14:15" ht="14.5" x14ac:dyDescent="0.35">
      <c r="N178"/>
      <c r="O178"/>
    </row>
    <row r="179" spans="14:15" ht="14.5" x14ac:dyDescent="0.35">
      <c r="N179"/>
      <c r="O179"/>
    </row>
    <row r="180" spans="14:15" ht="14.5" x14ac:dyDescent="0.35">
      <c r="N180"/>
      <c r="O180"/>
    </row>
    <row r="181" spans="14:15" ht="14.5" x14ac:dyDescent="0.35">
      <c r="N181"/>
      <c r="O181"/>
    </row>
    <row r="182" spans="14:15" ht="14.5" x14ac:dyDescent="0.35">
      <c r="N182"/>
      <c r="O182"/>
    </row>
    <row r="183" spans="14:15" ht="14.5" x14ac:dyDescent="0.35">
      <c r="N183"/>
      <c r="O183"/>
    </row>
    <row r="184" spans="14:15" ht="14.5" x14ac:dyDescent="0.35">
      <c r="N184"/>
      <c r="O184"/>
    </row>
    <row r="185" spans="14:15" ht="14.5" x14ac:dyDescent="0.35">
      <c r="N185"/>
      <c r="O185"/>
    </row>
    <row r="186" spans="14:15" ht="14.5" x14ac:dyDescent="0.35">
      <c r="N186"/>
      <c r="O186"/>
    </row>
    <row r="187" spans="14:15" ht="14.5" x14ac:dyDescent="0.35">
      <c r="N187"/>
      <c r="O187"/>
    </row>
    <row r="188" spans="14:15" ht="14.5" x14ac:dyDescent="0.35">
      <c r="N188"/>
      <c r="O188"/>
    </row>
    <row r="189" spans="14:15" ht="14.5" x14ac:dyDescent="0.35">
      <c r="N189"/>
      <c r="O189"/>
    </row>
    <row r="190" spans="14:15" ht="14.5" x14ac:dyDescent="0.35">
      <c r="N190"/>
      <c r="O190"/>
    </row>
    <row r="191" spans="14:15" ht="14.5" x14ac:dyDescent="0.35">
      <c r="N191"/>
      <c r="O191"/>
    </row>
    <row r="192" spans="14:15" ht="14.5" x14ac:dyDescent="0.35">
      <c r="N192"/>
      <c r="O192"/>
    </row>
    <row r="193" spans="14:15" ht="14.5" x14ac:dyDescent="0.35">
      <c r="N193"/>
      <c r="O193"/>
    </row>
    <row r="194" spans="14:15" ht="14.5" x14ac:dyDescent="0.35">
      <c r="N194"/>
      <c r="O194"/>
    </row>
    <row r="195" spans="14:15" ht="14.5" x14ac:dyDescent="0.35">
      <c r="N195"/>
      <c r="O195"/>
    </row>
    <row r="196" spans="14:15" ht="14.5" x14ac:dyDescent="0.35">
      <c r="N196"/>
      <c r="O196"/>
    </row>
    <row r="197" spans="14:15" ht="14.5" x14ac:dyDescent="0.35">
      <c r="N197"/>
      <c r="O197"/>
    </row>
    <row r="198" spans="14:15" ht="14.5" x14ac:dyDescent="0.35">
      <c r="N198"/>
      <c r="O198"/>
    </row>
    <row r="199" spans="14:15" ht="14.5" x14ac:dyDescent="0.35">
      <c r="N199"/>
      <c r="O199"/>
    </row>
    <row r="200" spans="14:15" ht="14.5" x14ac:dyDescent="0.35">
      <c r="N200"/>
      <c r="O200"/>
    </row>
    <row r="201" spans="14:15" ht="14.5" x14ac:dyDescent="0.35">
      <c r="N201"/>
      <c r="O201"/>
    </row>
    <row r="202" spans="14:15" ht="14.5" x14ac:dyDescent="0.35">
      <c r="N202"/>
      <c r="O202"/>
    </row>
    <row r="203" spans="14:15" ht="14.5" x14ac:dyDescent="0.35">
      <c r="N203"/>
      <c r="O203"/>
    </row>
    <row r="204" spans="14:15" ht="14.5" x14ac:dyDescent="0.35">
      <c r="N204"/>
      <c r="O204"/>
    </row>
    <row r="205" spans="14:15" ht="14.5" x14ac:dyDescent="0.35">
      <c r="N205"/>
      <c r="O205"/>
    </row>
    <row r="206" spans="14:15" ht="14.5" x14ac:dyDescent="0.35">
      <c r="N206"/>
      <c r="O206"/>
    </row>
    <row r="207" spans="14:15" ht="14.5" x14ac:dyDescent="0.35">
      <c r="N207"/>
      <c r="O207"/>
    </row>
    <row r="208" spans="14:15" ht="14.5" x14ac:dyDescent="0.35">
      <c r="N208"/>
      <c r="O208"/>
    </row>
    <row r="209" spans="14:15" ht="14.5" x14ac:dyDescent="0.35">
      <c r="N209"/>
      <c r="O209"/>
    </row>
    <row r="210" spans="14:15" ht="14.5" x14ac:dyDescent="0.35">
      <c r="N210"/>
      <c r="O210"/>
    </row>
    <row r="211" spans="14:15" ht="14.5" x14ac:dyDescent="0.35">
      <c r="N211"/>
      <c r="O211"/>
    </row>
    <row r="212" spans="14:15" ht="14.5" x14ac:dyDescent="0.35">
      <c r="N212"/>
      <c r="O212"/>
    </row>
    <row r="213" spans="14:15" ht="14.5" x14ac:dyDescent="0.35">
      <c r="N213"/>
      <c r="O213"/>
    </row>
    <row r="214" spans="14:15" ht="14.5" x14ac:dyDescent="0.35">
      <c r="N214"/>
      <c r="O214"/>
    </row>
    <row r="215" spans="14:15" ht="14.5" x14ac:dyDescent="0.35">
      <c r="N215"/>
      <c r="O215"/>
    </row>
    <row r="216" spans="14:15" ht="14.5" x14ac:dyDescent="0.35">
      <c r="N216"/>
      <c r="O216"/>
    </row>
    <row r="217" spans="14:15" ht="14.5" x14ac:dyDescent="0.35">
      <c r="N217"/>
      <c r="O217"/>
    </row>
    <row r="218" spans="14:15" ht="14.5" x14ac:dyDescent="0.35">
      <c r="N218"/>
      <c r="O218"/>
    </row>
    <row r="219" spans="14:15" ht="14.5" x14ac:dyDescent="0.35">
      <c r="N219"/>
      <c r="O219"/>
    </row>
    <row r="220" spans="14:15" ht="14.5" x14ac:dyDescent="0.35">
      <c r="N220"/>
      <c r="O220"/>
    </row>
    <row r="221" spans="14:15" ht="14.5" x14ac:dyDescent="0.35">
      <c r="N221"/>
      <c r="O221"/>
    </row>
    <row r="222" spans="14:15" ht="14.5" x14ac:dyDescent="0.35">
      <c r="N222"/>
      <c r="O222"/>
    </row>
    <row r="223" spans="14:15" ht="14.5" x14ac:dyDescent="0.35">
      <c r="N223"/>
      <c r="O223"/>
    </row>
    <row r="224" spans="14:15" ht="14.5" x14ac:dyDescent="0.35">
      <c r="N224"/>
      <c r="O224"/>
    </row>
    <row r="225" spans="14:15" ht="14.5" x14ac:dyDescent="0.35">
      <c r="N225"/>
      <c r="O225"/>
    </row>
    <row r="226" spans="14:15" ht="14.5" x14ac:dyDescent="0.35">
      <c r="N226"/>
      <c r="O226"/>
    </row>
    <row r="227" spans="14:15" ht="14.5" x14ac:dyDescent="0.35">
      <c r="N227"/>
      <c r="O227"/>
    </row>
    <row r="228" spans="14:15" ht="14.5" x14ac:dyDescent="0.35">
      <c r="N228"/>
      <c r="O228"/>
    </row>
    <row r="229" spans="14:15" ht="14.5" x14ac:dyDescent="0.35">
      <c r="N229"/>
      <c r="O229"/>
    </row>
    <row r="230" spans="14:15" ht="14.5" x14ac:dyDescent="0.35">
      <c r="N230"/>
      <c r="O230"/>
    </row>
    <row r="231" spans="14:15" ht="14.5" x14ac:dyDescent="0.35">
      <c r="N231"/>
      <c r="O231"/>
    </row>
    <row r="232" spans="14:15" ht="14.5" x14ac:dyDescent="0.35">
      <c r="N232"/>
      <c r="O232"/>
    </row>
    <row r="233" spans="14:15" ht="14.5" x14ac:dyDescent="0.35">
      <c r="N233"/>
      <c r="O233"/>
    </row>
    <row r="234" spans="14:15" ht="14.5" x14ac:dyDescent="0.35">
      <c r="N234"/>
      <c r="O234"/>
    </row>
    <row r="235" spans="14:15" ht="14.5" x14ac:dyDescent="0.35">
      <c r="N235"/>
      <c r="O235"/>
    </row>
    <row r="236" spans="14:15" ht="14.5" x14ac:dyDescent="0.35">
      <c r="N236"/>
      <c r="O236"/>
    </row>
    <row r="237" spans="14:15" ht="14.5" x14ac:dyDescent="0.35">
      <c r="N237"/>
      <c r="O237"/>
    </row>
    <row r="238" spans="14:15" ht="14.5" x14ac:dyDescent="0.35">
      <c r="N238"/>
      <c r="O238"/>
    </row>
    <row r="239" spans="14:15" ht="14.5" x14ac:dyDescent="0.35">
      <c r="N239"/>
      <c r="O239"/>
    </row>
    <row r="240" spans="14:15" ht="14.5" x14ac:dyDescent="0.35">
      <c r="N240"/>
      <c r="O240"/>
    </row>
    <row r="241" spans="14:15" ht="14.5" x14ac:dyDescent="0.35">
      <c r="N241"/>
      <c r="O241"/>
    </row>
    <row r="242" spans="14:15" ht="14.5" x14ac:dyDescent="0.35">
      <c r="N242"/>
      <c r="O242"/>
    </row>
    <row r="243" spans="14:15" ht="14.5" x14ac:dyDescent="0.35">
      <c r="N243"/>
      <c r="O243"/>
    </row>
    <row r="244" spans="14:15" ht="14.5" x14ac:dyDescent="0.35">
      <c r="N244"/>
      <c r="O244"/>
    </row>
    <row r="245" spans="14:15" ht="14.5" x14ac:dyDescent="0.35">
      <c r="N245"/>
      <c r="O245"/>
    </row>
    <row r="246" spans="14:15" ht="14.5" x14ac:dyDescent="0.35">
      <c r="N246"/>
      <c r="O246"/>
    </row>
    <row r="247" spans="14:15" ht="14.5" x14ac:dyDescent="0.35">
      <c r="N247"/>
      <c r="O247"/>
    </row>
    <row r="248" spans="14:15" ht="14.5" x14ac:dyDescent="0.35">
      <c r="N248"/>
      <c r="O248"/>
    </row>
    <row r="249" spans="14:15" ht="14.5" x14ac:dyDescent="0.35">
      <c r="N249"/>
      <c r="O249"/>
    </row>
    <row r="250" spans="14:15" ht="14.5" x14ac:dyDescent="0.35">
      <c r="N250"/>
      <c r="O250"/>
    </row>
    <row r="251" spans="14:15" ht="14.5" x14ac:dyDescent="0.35">
      <c r="N251"/>
      <c r="O251"/>
    </row>
    <row r="252" spans="14:15" ht="14.5" x14ac:dyDescent="0.35">
      <c r="N252"/>
      <c r="O252"/>
    </row>
    <row r="253" spans="14:15" ht="14.5" x14ac:dyDescent="0.35">
      <c r="N253"/>
      <c r="O253"/>
    </row>
    <row r="254" spans="14:15" ht="14.5" x14ac:dyDescent="0.35">
      <c r="N254"/>
      <c r="O254"/>
    </row>
    <row r="255" spans="14:15" ht="14.5" x14ac:dyDescent="0.35">
      <c r="N255"/>
      <c r="O255"/>
    </row>
    <row r="256" spans="14:15" ht="14.5" x14ac:dyDescent="0.35">
      <c r="N256"/>
      <c r="O256"/>
    </row>
    <row r="257" spans="14:15" ht="14.5" x14ac:dyDescent="0.35">
      <c r="N257"/>
      <c r="O257"/>
    </row>
    <row r="258" spans="14:15" ht="14.5" x14ac:dyDescent="0.35">
      <c r="N258"/>
      <c r="O258"/>
    </row>
    <row r="259" spans="14:15" ht="14.5" x14ac:dyDescent="0.35">
      <c r="N259"/>
      <c r="O259"/>
    </row>
    <row r="260" spans="14:15" ht="14.5" x14ac:dyDescent="0.35">
      <c r="N260"/>
      <c r="O260"/>
    </row>
    <row r="261" spans="14:15" ht="14.5" x14ac:dyDescent="0.35">
      <c r="N261"/>
      <c r="O261"/>
    </row>
    <row r="262" spans="14:15" ht="14.5" x14ac:dyDescent="0.35">
      <c r="N262"/>
      <c r="O262"/>
    </row>
    <row r="263" spans="14:15" ht="14.5" x14ac:dyDescent="0.35">
      <c r="N263"/>
      <c r="O263"/>
    </row>
    <row r="264" spans="14:15" ht="14.5" x14ac:dyDescent="0.35">
      <c r="N264"/>
      <c r="O264"/>
    </row>
    <row r="265" spans="14:15" ht="14.5" x14ac:dyDescent="0.35">
      <c r="N265"/>
      <c r="O265"/>
    </row>
    <row r="266" spans="14:15" ht="14.5" x14ac:dyDescent="0.35">
      <c r="N266"/>
      <c r="O266"/>
    </row>
    <row r="267" spans="14:15" ht="14.5" x14ac:dyDescent="0.35">
      <c r="N267"/>
      <c r="O267"/>
    </row>
    <row r="268" spans="14:15" ht="14.5" x14ac:dyDescent="0.35">
      <c r="N268"/>
      <c r="O268"/>
    </row>
    <row r="269" spans="14:15" ht="14.5" x14ac:dyDescent="0.35">
      <c r="N269"/>
      <c r="O269"/>
    </row>
    <row r="270" spans="14:15" ht="14.5" x14ac:dyDescent="0.35">
      <c r="N270"/>
      <c r="O270"/>
    </row>
    <row r="271" spans="14:15" ht="14.5" x14ac:dyDescent="0.35">
      <c r="N271"/>
      <c r="O271"/>
    </row>
    <row r="272" spans="14:15" ht="14.5" x14ac:dyDescent="0.35">
      <c r="N272"/>
      <c r="O272"/>
    </row>
    <row r="273" spans="14:15" ht="14.5" x14ac:dyDescent="0.35">
      <c r="N273"/>
      <c r="O273"/>
    </row>
    <row r="274" spans="14:15" ht="14.5" x14ac:dyDescent="0.35">
      <c r="N274"/>
      <c r="O274"/>
    </row>
    <row r="275" spans="14:15" ht="14.5" x14ac:dyDescent="0.35">
      <c r="N275"/>
      <c r="O275"/>
    </row>
    <row r="276" spans="14:15" ht="14.5" x14ac:dyDescent="0.35">
      <c r="N276"/>
      <c r="O276"/>
    </row>
    <row r="277" spans="14:15" ht="14.5" x14ac:dyDescent="0.35">
      <c r="N277"/>
      <c r="O277"/>
    </row>
    <row r="278" spans="14:15" ht="14.5" x14ac:dyDescent="0.35">
      <c r="N278"/>
      <c r="O278"/>
    </row>
    <row r="279" spans="14:15" ht="14.5" x14ac:dyDescent="0.35">
      <c r="N279"/>
      <c r="O279"/>
    </row>
    <row r="280" spans="14:15" ht="14.5" x14ac:dyDescent="0.35">
      <c r="N280"/>
      <c r="O280"/>
    </row>
    <row r="281" spans="14:15" ht="14.5" x14ac:dyDescent="0.35">
      <c r="N281"/>
      <c r="O281"/>
    </row>
    <row r="282" spans="14:15" ht="14.5" x14ac:dyDescent="0.35">
      <c r="N282"/>
      <c r="O282"/>
    </row>
    <row r="283" spans="14:15" ht="14.5" x14ac:dyDescent="0.35">
      <c r="N283"/>
      <c r="O283"/>
    </row>
    <row r="284" spans="14:15" ht="14.5" x14ac:dyDescent="0.35">
      <c r="N284"/>
      <c r="O284"/>
    </row>
    <row r="285" spans="14:15" ht="14.5" x14ac:dyDescent="0.35">
      <c r="N285"/>
      <c r="O285"/>
    </row>
    <row r="286" spans="14:15" ht="14.5" x14ac:dyDescent="0.35">
      <c r="N286"/>
      <c r="O286"/>
    </row>
    <row r="287" spans="14:15" ht="14.5" x14ac:dyDescent="0.35">
      <c r="N287"/>
      <c r="O287"/>
    </row>
    <row r="288" spans="14:15" ht="14.5" x14ac:dyDescent="0.35">
      <c r="N288"/>
      <c r="O288"/>
    </row>
    <row r="289" spans="14:15" ht="14.5" x14ac:dyDescent="0.35">
      <c r="N289"/>
      <c r="O289"/>
    </row>
    <row r="290" spans="14:15" ht="14.5" x14ac:dyDescent="0.35">
      <c r="N290"/>
      <c r="O290"/>
    </row>
    <row r="291" spans="14:15" ht="14.5" x14ac:dyDescent="0.35">
      <c r="N291"/>
      <c r="O291"/>
    </row>
    <row r="292" spans="14:15" ht="14.5" x14ac:dyDescent="0.35">
      <c r="N292"/>
      <c r="O292"/>
    </row>
    <row r="293" spans="14:15" ht="14.5" x14ac:dyDescent="0.35">
      <c r="N293"/>
      <c r="O293"/>
    </row>
    <row r="294" spans="14:15" ht="14.5" x14ac:dyDescent="0.35">
      <c r="N294"/>
      <c r="O294"/>
    </row>
    <row r="295" spans="14:15" ht="14.5" x14ac:dyDescent="0.35">
      <c r="N295"/>
      <c r="O295"/>
    </row>
    <row r="296" spans="14:15" ht="14.5" x14ac:dyDescent="0.35">
      <c r="N296"/>
      <c r="O296"/>
    </row>
    <row r="297" spans="14:15" ht="14.5" x14ac:dyDescent="0.35">
      <c r="N297"/>
      <c r="O297"/>
    </row>
    <row r="298" spans="14:15" ht="14.5" x14ac:dyDescent="0.35">
      <c r="N298"/>
      <c r="O298"/>
    </row>
    <row r="299" spans="14:15" ht="14.5" x14ac:dyDescent="0.35">
      <c r="N299"/>
      <c r="O299"/>
    </row>
    <row r="300" spans="14:15" ht="14.5" x14ac:dyDescent="0.35">
      <c r="N300"/>
      <c r="O300"/>
    </row>
    <row r="301" spans="14:15" ht="14.5" x14ac:dyDescent="0.35">
      <c r="N301"/>
      <c r="O301"/>
    </row>
    <row r="302" spans="14:15" ht="14.5" x14ac:dyDescent="0.35">
      <c r="N302"/>
      <c r="O302"/>
    </row>
    <row r="303" spans="14:15" ht="14.5" x14ac:dyDescent="0.35">
      <c r="N303"/>
      <c r="O303"/>
    </row>
    <row r="304" spans="14:15" ht="14.5" x14ac:dyDescent="0.35">
      <c r="N304"/>
      <c r="O304"/>
    </row>
    <row r="305" spans="14:15" ht="14.5" x14ac:dyDescent="0.35">
      <c r="N305"/>
      <c r="O305"/>
    </row>
    <row r="306" spans="14:15" ht="14.5" x14ac:dyDescent="0.35">
      <c r="N306"/>
      <c r="O306"/>
    </row>
    <row r="307" spans="14:15" ht="14.5" x14ac:dyDescent="0.35">
      <c r="N307"/>
      <c r="O307"/>
    </row>
    <row r="308" spans="14:15" ht="14.5" x14ac:dyDescent="0.35">
      <c r="N308"/>
      <c r="O308"/>
    </row>
    <row r="309" spans="14:15" ht="14.5" x14ac:dyDescent="0.35">
      <c r="N309"/>
      <c r="O309"/>
    </row>
    <row r="310" spans="14:15" ht="14.5" x14ac:dyDescent="0.35">
      <c r="N310"/>
      <c r="O310"/>
    </row>
    <row r="311" spans="14:15" ht="14.5" x14ac:dyDescent="0.35">
      <c r="N311"/>
      <c r="O311"/>
    </row>
    <row r="312" spans="14:15" ht="14.5" x14ac:dyDescent="0.35">
      <c r="N312"/>
      <c r="O312"/>
    </row>
    <row r="313" spans="14:15" ht="14.5" x14ac:dyDescent="0.35">
      <c r="N313"/>
      <c r="O313"/>
    </row>
    <row r="314" spans="14:15" ht="14.5" x14ac:dyDescent="0.35">
      <c r="N314"/>
      <c r="O314"/>
    </row>
    <row r="315" spans="14:15" ht="14.5" x14ac:dyDescent="0.35">
      <c r="N315"/>
      <c r="O315"/>
    </row>
    <row r="316" spans="14:15" ht="14.5" x14ac:dyDescent="0.35">
      <c r="N316"/>
      <c r="O316"/>
    </row>
    <row r="317" spans="14:15" ht="14.5" x14ac:dyDescent="0.35">
      <c r="N317"/>
      <c r="O317"/>
    </row>
    <row r="318" spans="14:15" ht="14.5" x14ac:dyDescent="0.35">
      <c r="N318"/>
      <c r="O318"/>
    </row>
    <row r="319" spans="14:15" ht="14.5" x14ac:dyDescent="0.35">
      <c r="N319"/>
      <c r="O319"/>
    </row>
    <row r="320" spans="14:15" ht="14.5" x14ac:dyDescent="0.35">
      <c r="N320"/>
      <c r="O320"/>
    </row>
    <row r="321" spans="14:15" ht="14.5" x14ac:dyDescent="0.35">
      <c r="N321"/>
      <c r="O321"/>
    </row>
    <row r="322" spans="14:15" ht="14.5" x14ac:dyDescent="0.35">
      <c r="N322"/>
      <c r="O322"/>
    </row>
    <row r="323" spans="14:15" ht="14.5" x14ac:dyDescent="0.35">
      <c r="N323"/>
      <c r="O323"/>
    </row>
    <row r="324" spans="14:15" ht="14.5" x14ac:dyDescent="0.35">
      <c r="N324"/>
      <c r="O324"/>
    </row>
    <row r="325" spans="14:15" ht="14.5" x14ac:dyDescent="0.35">
      <c r="N325"/>
      <c r="O325"/>
    </row>
    <row r="326" spans="14:15" ht="14.5" x14ac:dyDescent="0.35">
      <c r="N326"/>
      <c r="O326"/>
    </row>
    <row r="327" spans="14:15" ht="14.5" x14ac:dyDescent="0.35">
      <c r="N327"/>
      <c r="O327"/>
    </row>
    <row r="328" spans="14:15" ht="14.5" x14ac:dyDescent="0.35">
      <c r="N328"/>
      <c r="O328"/>
    </row>
    <row r="329" spans="14:15" ht="14.5" x14ac:dyDescent="0.35">
      <c r="N329"/>
      <c r="O329"/>
    </row>
    <row r="330" spans="14:15" ht="14.5" x14ac:dyDescent="0.35">
      <c r="N330"/>
      <c r="O330"/>
    </row>
    <row r="331" spans="14:15" ht="14.5" x14ac:dyDescent="0.35">
      <c r="N331"/>
      <c r="O331"/>
    </row>
    <row r="332" spans="14:15" ht="14.5" x14ac:dyDescent="0.35">
      <c r="N332"/>
      <c r="O332"/>
    </row>
    <row r="333" spans="14:15" ht="14.5" x14ac:dyDescent="0.35">
      <c r="N333"/>
      <c r="O333"/>
    </row>
    <row r="334" spans="14:15" ht="14.5" x14ac:dyDescent="0.35">
      <c r="N334"/>
      <c r="O334"/>
    </row>
  </sheetData>
  <mergeCells count="2">
    <mergeCell ref="D39:J39"/>
    <mergeCell ref="C42:D42"/>
  </mergeCells>
  <phoneticPr fontId="11" type="noConversion"/>
  <pageMargins left="0.7" right="0.7" top="0.75" bottom="0.75" header="0.3" footer="0.3"/>
  <pageSetup paperSize="9" scale="88" orientation="landscape" r:id="rId2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F627"/>
  <sheetViews>
    <sheetView zoomScaleNormal="100" workbookViewId="0">
      <selection activeCell="H112" sqref="H112"/>
    </sheetView>
  </sheetViews>
  <sheetFormatPr baseColWidth="10" defaultRowHeight="14.5" x14ac:dyDescent="0.35"/>
  <cols>
    <col min="1" max="1" width="13.7265625" customWidth="1"/>
    <col min="2" max="2" width="23.1796875" customWidth="1"/>
    <col min="3" max="3" width="20.54296875" customWidth="1"/>
    <col min="4" max="4" width="19.453125" bestFit="1" customWidth="1"/>
    <col min="5" max="5" width="17.26953125" bestFit="1" customWidth="1"/>
    <col min="6" max="6" width="18.54296875" customWidth="1"/>
  </cols>
  <sheetData>
    <row r="1" spans="1:6" x14ac:dyDescent="0.35">
      <c r="A1" s="667" t="s">
        <v>1573</v>
      </c>
      <c r="B1" s="667"/>
      <c r="C1" s="667"/>
    </row>
    <row r="2" spans="1:6" x14ac:dyDescent="0.35">
      <c r="A2" s="668" t="s">
        <v>1554</v>
      </c>
      <c r="B2" s="668"/>
      <c r="C2" s="476"/>
    </row>
    <row r="3" spans="1:6" x14ac:dyDescent="0.35">
      <c r="A3" s="474" t="s">
        <v>1568</v>
      </c>
      <c r="B3" s="474" t="s">
        <v>1569</v>
      </c>
      <c r="C3" s="474" t="s">
        <v>1570</v>
      </c>
      <c r="D3" s="474" t="s">
        <v>1571</v>
      </c>
      <c r="E3" s="474" t="s">
        <v>1572</v>
      </c>
      <c r="F3" s="474" t="s">
        <v>1595</v>
      </c>
    </row>
    <row r="4" spans="1:6" ht="14.5" hidden="1" customHeight="1" x14ac:dyDescent="0.35">
      <c r="A4" s="569" t="s">
        <v>1582</v>
      </c>
      <c r="B4" s="569" t="s">
        <v>1561</v>
      </c>
      <c r="C4" s="550">
        <v>46029.370138888888</v>
      </c>
      <c r="D4" s="549">
        <v>46029.379166666666</v>
      </c>
      <c r="E4" s="548" t="s">
        <v>1694</v>
      </c>
      <c r="F4" s="548" t="s">
        <v>1788</v>
      </c>
    </row>
    <row r="5" spans="1:6" ht="14.5" hidden="1" customHeight="1" x14ac:dyDescent="0.35">
      <c r="A5" s="569" t="s">
        <v>1582</v>
      </c>
      <c r="B5" s="569" t="s">
        <v>1561</v>
      </c>
      <c r="C5" s="550">
        <v>46035.539583333331</v>
      </c>
      <c r="D5" s="549">
        <v>46035.679861111108</v>
      </c>
      <c r="E5" s="548" t="s">
        <v>1773</v>
      </c>
      <c r="F5" s="548" t="s">
        <v>1788</v>
      </c>
    </row>
    <row r="6" spans="1:6" ht="14.5" hidden="1" customHeight="1" x14ac:dyDescent="0.35">
      <c r="A6" s="569" t="s">
        <v>1586</v>
      </c>
      <c r="B6" s="569" t="s">
        <v>1587</v>
      </c>
      <c r="C6" s="570">
        <v>46060.784722222219</v>
      </c>
      <c r="D6" s="570">
        <v>46060.808333333334</v>
      </c>
      <c r="E6" s="571" t="s">
        <v>1700</v>
      </c>
      <c r="F6" s="571" t="s">
        <v>1596</v>
      </c>
    </row>
    <row r="7" spans="1:6" ht="14.5" hidden="1" customHeight="1" x14ac:dyDescent="0.35">
      <c r="A7" s="569" t="s">
        <v>1586</v>
      </c>
      <c r="B7" s="569" t="s">
        <v>1587</v>
      </c>
      <c r="C7" s="570">
        <v>46061.425000000003</v>
      </c>
      <c r="D7" s="570">
        <v>46061.435416666667</v>
      </c>
      <c r="E7" s="571" t="s">
        <v>1680</v>
      </c>
      <c r="F7" s="571" t="s">
        <v>1596</v>
      </c>
    </row>
    <row r="8" spans="1:6" ht="14.5" hidden="1" customHeight="1" x14ac:dyDescent="0.35">
      <c r="A8" s="569" t="s">
        <v>1586</v>
      </c>
      <c r="B8" s="569" t="s">
        <v>1587</v>
      </c>
      <c r="C8" s="570">
        <v>46066.306944444441</v>
      </c>
      <c r="D8" s="570">
        <v>46066.633333333331</v>
      </c>
      <c r="E8" s="571" t="s">
        <v>1767</v>
      </c>
      <c r="F8" s="571" t="s">
        <v>1596</v>
      </c>
    </row>
    <row r="9" spans="1:6" ht="14.5" hidden="1" customHeight="1" x14ac:dyDescent="0.35">
      <c r="A9" s="569" t="s">
        <v>1586</v>
      </c>
      <c r="B9" s="569" t="s">
        <v>1587</v>
      </c>
      <c r="C9" s="570">
        <v>46073.505555555559</v>
      </c>
      <c r="D9" s="570">
        <v>46073.534722222219</v>
      </c>
      <c r="E9" s="571" t="s">
        <v>1648</v>
      </c>
      <c r="F9" s="571" t="s">
        <v>1596</v>
      </c>
    </row>
    <row r="10" spans="1:6" ht="14.5" hidden="1" customHeight="1" x14ac:dyDescent="0.35">
      <c r="A10" s="569" t="s">
        <v>1583</v>
      </c>
      <c r="B10" s="569" t="s">
        <v>1562</v>
      </c>
      <c r="C10" s="570">
        <v>46057.445833333331</v>
      </c>
      <c r="D10" s="570">
        <v>46057.459722222222</v>
      </c>
      <c r="E10" s="571" t="s">
        <v>1798</v>
      </c>
      <c r="F10" s="571" t="s">
        <v>1596</v>
      </c>
    </row>
    <row r="11" spans="1:6" hidden="1" x14ac:dyDescent="0.35">
      <c r="A11" s="569" t="s">
        <v>1583</v>
      </c>
      <c r="B11" s="569" t="s">
        <v>1562</v>
      </c>
      <c r="C11" s="570">
        <v>46062.404861111114</v>
      </c>
      <c r="D11" s="570">
        <v>46062.539583333331</v>
      </c>
      <c r="E11" s="571" t="s">
        <v>1799</v>
      </c>
      <c r="F11" s="571" t="s">
        <v>1596</v>
      </c>
    </row>
    <row r="12" spans="1:6" hidden="1" x14ac:dyDescent="0.35">
      <c r="A12" s="569" t="s">
        <v>1583</v>
      </c>
      <c r="B12" s="569" t="s">
        <v>1562</v>
      </c>
      <c r="C12" s="570">
        <v>46063.377083333333</v>
      </c>
      <c r="D12" s="570">
        <v>46063.413194444445</v>
      </c>
      <c r="E12" s="571" t="s">
        <v>1786</v>
      </c>
      <c r="F12" s="571" t="s">
        <v>1596</v>
      </c>
    </row>
    <row r="13" spans="1:6" hidden="1" x14ac:dyDescent="0.35">
      <c r="A13" s="569" t="s">
        <v>1583</v>
      </c>
      <c r="B13" s="569" t="s">
        <v>1562</v>
      </c>
      <c r="C13" s="570">
        <v>46066.3125</v>
      </c>
      <c r="D13" s="570">
        <v>46066.634027777778</v>
      </c>
      <c r="E13" s="571" t="s">
        <v>1800</v>
      </c>
      <c r="F13" s="571" t="s">
        <v>1596</v>
      </c>
    </row>
    <row r="14" spans="1:6" hidden="1" x14ac:dyDescent="0.35">
      <c r="A14" s="569" t="s">
        <v>1583</v>
      </c>
      <c r="B14" s="569" t="s">
        <v>1562</v>
      </c>
      <c r="C14" s="570">
        <v>46072.512499999997</v>
      </c>
      <c r="D14" s="570">
        <v>46072.543749999997</v>
      </c>
      <c r="E14" s="571" t="s">
        <v>1644</v>
      </c>
      <c r="F14" s="571" t="s">
        <v>1596</v>
      </c>
    </row>
    <row r="15" spans="1:6" hidden="1" x14ac:dyDescent="0.35">
      <c r="A15" s="569" t="s">
        <v>1583</v>
      </c>
      <c r="B15" s="569" t="s">
        <v>1562</v>
      </c>
      <c r="C15" s="570">
        <v>46076.370833333334</v>
      </c>
      <c r="D15" s="570">
        <v>46076.439583333333</v>
      </c>
      <c r="E15" s="571" t="s">
        <v>1658</v>
      </c>
      <c r="F15" s="571" t="s">
        <v>1596</v>
      </c>
    </row>
    <row r="16" spans="1:6" hidden="1" x14ac:dyDescent="0.35">
      <c r="A16" s="569" t="s">
        <v>1588</v>
      </c>
      <c r="B16" s="569" t="s">
        <v>1589</v>
      </c>
      <c r="C16" s="570">
        <v>46057.445833333331</v>
      </c>
      <c r="D16" s="570">
        <v>46057.459722222222</v>
      </c>
      <c r="E16" s="571" t="s">
        <v>1798</v>
      </c>
      <c r="F16" s="571" t="s">
        <v>1596</v>
      </c>
    </row>
    <row r="17" spans="1:6" hidden="1" x14ac:dyDescent="0.35">
      <c r="A17" s="569" t="s">
        <v>1588</v>
      </c>
      <c r="B17" s="569" t="s">
        <v>1589</v>
      </c>
      <c r="C17" s="570">
        <v>46066.311805555553</v>
      </c>
      <c r="D17" s="570">
        <v>46066.635416666664</v>
      </c>
      <c r="E17" s="571" t="s">
        <v>1678</v>
      </c>
      <c r="F17" s="571" t="s">
        <v>1596</v>
      </c>
    </row>
    <row r="18" spans="1:6" hidden="1" x14ac:dyDescent="0.35">
      <c r="A18" s="569" t="s">
        <v>1584</v>
      </c>
      <c r="B18" s="569" t="s">
        <v>1563</v>
      </c>
      <c r="C18" s="570">
        <v>46066.262499999997</v>
      </c>
      <c r="D18" s="570">
        <v>46066.635416666664</v>
      </c>
      <c r="E18" s="571" t="s">
        <v>1651</v>
      </c>
      <c r="F18" s="571" t="s">
        <v>1596</v>
      </c>
    </row>
    <row r="19" spans="1:6" hidden="1" x14ac:dyDescent="0.35">
      <c r="A19" s="569" t="s">
        <v>1584</v>
      </c>
      <c r="B19" s="569" t="s">
        <v>1563</v>
      </c>
      <c r="C19" s="570">
        <v>46072.512499999997</v>
      </c>
      <c r="D19" s="570">
        <v>46072.543749999997</v>
      </c>
      <c r="E19" s="571" t="s">
        <v>1644</v>
      </c>
      <c r="F19" s="571" t="s">
        <v>1596</v>
      </c>
    </row>
    <row r="20" spans="1:6" hidden="1" x14ac:dyDescent="0.35">
      <c r="A20" s="569" t="s">
        <v>1584</v>
      </c>
      <c r="B20" s="569" t="s">
        <v>1563</v>
      </c>
      <c r="C20" s="570">
        <v>46073.505555555559</v>
      </c>
      <c r="D20" s="570">
        <v>46073.534722222219</v>
      </c>
      <c r="E20" s="571" t="s">
        <v>1648</v>
      </c>
      <c r="F20" s="571" t="s">
        <v>1596</v>
      </c>
    </row>
    <row r="21" spans="1:6" hidden="1" x14ac:dyDescent="0.35">
      <c r="A21" s="569" t="s">
        <v>1585</v>
      </c>
      <c r="B21" s="569" t="s">
        <v>1564</v>
      </c>
      <c r="C21" s="570">
        <v>46056.484722222223</v>
      </c>
      <c r="D21" s="570">
        <v>46056.497916666667</v>
      </c>
      <c r="E21" s="571" t="s">
        <v>1652</v>
      </c>
      <c r="F21" s="571" t="s">
        <v>1596</v>
      </c>
    </row>
    <row r="22" spans="1:6" hidden="1" x14ac:dyDescent="0.35">
      <c r="A22" s="569" t="s">
        <v>1585</v>
      </c>
      <c r="B22" s="569" t="s">
        <v>1564</v>
      </c>
      <c r="C22" s="570">
        <v>46060.784722222219</v>
      </c>
      <c r="D22" s="570">
        <v>46060.80972222222</v>
      </c>
      <c r="E22" s="571" t="s">
        <v>1654</v>
      </c>
      <c r="F22" s="571" t="s">
        <v>1596</v>
      </c>
    </row>
    <row r="23" spans="1:6" hidden="1" x14ac:dyDescent="0.35">
      <c r="A23" s="569" t="s">
        <v>1585</v>
      </c>
      <c r="B23" s="569" t="s">
        <v>1564</v>
      </c>
      <c r="C23" s="570">
        <v>46061.425000000003</v>
      </c>
      <c r="D23" s="570">
        <v>46061.435416666667</v>
      </c>
      <c r="E23" s="571" t="s">
        <v>1680</v>
      </c>
      <c r="F23" s="571" t="s">
        <v>1596</v>
      </c>
    </row>
    <row r="24" spans="1:6" hidden="1" x14ac:dyDescent="0.35">
      <c r="A24" s="569" t="s">
        <v>1585</v>
      </c>
      <c r="B24" s="569" t="s">
        <v>1564</v>
      </c>
      <c r="C24" s="570">
        <v>46062.402777777781</v>
      </c>
      <c r="D24" s="570">
        <v>46062.540277777778</v>
      </c>
      <c r="E24" s="571" t="s">
        <v>1640</v>
      </c>
      <c r="F24" s="571" t="s">
        <v>1596</v>
      </c>
    </row>
    <row r="25" spans="1:6" hidden="1" x14ac:dyDescent="0.35">
      <c r="A25" s="569" t="s">
        <v>1585</v>
      </c>
      <c r="B25" s="569" t="s">
        <v>1564</v>
      </c>
      <c r="C25" s="570">
        <v>46063.37777777778</v>
      </c>
      <c r="D25" s="570">
        <v>46063.413194444445</v>
      </c>
      <c r="E25" s="571" t="s">
        <v>1639</v>
      </c>
      <c r="F25" s="571" t="s">
        <v>1596</v>
      </c>
    </row>
    <row r="26" spans="1:6" hidden="1" x14ac:dyDescent="0.35">
      <c r="A26" s="569" t="s">
        <v>1585</v>
      </c>
      <c r="B26" s="569" t="s">
        <v>1564</v>
      </c>
      <c r="C26" s="570">
        <v>46066.311111111114</v>
      </c>
      <c r="D26" s="570">
        <v>46066.635416666664</v>
      </c>
      <c r="E26" s="571" t="s">
        <v>1707</v>
      </c>
      <c r="F26" s="571" t="s">
        <v>1596</v>
      </c>
    </row>
    <row r="27" spans="1:6" hidden="1" x14ac:dyDescent="0.35">
      <c r="A27" s="569" t="s">
        <v>1585</v>
      </c>
      <c r="B27" s="569" t="s">
        <v>1564</v>
      </c>
      <c r="C27" s="570">
        <v>46072.513194444444</v>
      </c>
      <c r="D27" s="570">
        <v>46072.543749999997</v>
      </c>
      <c r="E27" s="571" t="s">
        <v>1772</v>
      </c>
      <c r="F27" s="571" t="s">
        <v>1596</v>
      </c>
    </row>
    <row r="28" spans="1:6" hidden="1" x14ac:dyDescent="0.35">
      <c r="A28" s="569" t="s">
        <v>1585</v>
      </c>
      <c r="B28" s="569" t="s">
        <v>1564</v>
      </c>
      <c r="C28" s="570">
        <v>46073.411805555559</v>
      </c>
      <c r="D28" s="570">
        <v>46073.457638888889</v>
      </c>
      <c r="E28" s="571" t="s">
        <v>1759</v>
      </c>
      <c r="F28" s="571" t="s">
        <v>1596</v>
      </c>
    </row>
    <row r="29" spans="1:6" hidden="1" x14ac:dyDescent="0.35">
      <c r="A29" s="569" t="s">
        <v>1585</v>
      </c>
      <c r="B29" s="569" t="s">
        <v>1564</v>
      </c>
      <c r="C29" s="570">
        <v>46073.48541666667</v>
      </c>
      <c r="D29" s="570">
        <v>46073.493750000001</v>
      </c>
      <c r="E29" s="571" t="s">
        <v>1695</v>
      </c>
      <c r="F29" s="571" t="s">
        <v>1596</v>
      </c>
    </row>
    <row r="30" spans="1:6" hidden="1" x14ac:dyDescent="0.35">
      <c r="A30" s="569" t="s">
        <v>1585</v>
      </c>
      <c r="B30" s="569" t="s">
        <v>1564</v>
      </c>
      <c r="C30" s="570">
        <v>46073.505555555559</v>
      </c>
      <c r="D30" s="570">
        <v>46073.534722222219</v>
      </c>
      <c r="E30" s="571" t="s">
        <v>1648</v>
      </c>
      <c r="F30" s="571" t="s">
        <v>1596</v>
      </c>
    </row>
    <row r="31" spans="1:6" hidden="1" x14ac:dyDescent="0.35">
      <c r="A31" s="569" t="s">
        <v>1585</v>
      </c>
      <c r="B31" s="569" t="s">
        <v>1564</v>
      </c>
      <c r="C31" s="570">
        <v>46076.370138888888</v>
      </c>
      <c r="D31" s="570">
        <v>46076.439583333333</v>
      </c>
      <c r="E31" s="571" t="s">
        <v>1744</v>
      </c>
      <c r="F31" s="571" t="s">
        <v>1596</v>
      </c>
    </row>
    <row r="32" spans="1:6" hidden="1" x14ac:dyDescent="0.35">
      <c r="A32" s="571" t="s">
        <v>1582</v>
      </c>
      <c r="B32" s="571" t="s">
        <v>1561</v>
      </c>
      <c r="C32" s="550">
        <v>46037.368055555555</v>
      </c>
      <c r="D32" s="549">
        <v>46037.451388888891</v>
      </c>
      <c r="E32" s="548" t="s">
        <v>1774</v>
      </c>
      <c r="F32" s="548" t="s">
        <v>1788</v>
      </c>
    </row>
    <row r="33" spans="1:6" hidden="1" x14ac:dyDescent="0.35">
      <c r="A33" s="571" t="s">
        <v>1582</v>
      </c>
      <c r="B33" s="571" t="s">
        <v>1561</v>
      </c>
      <c r="C33" s="550">
        <v>46037.474999999999</v>
      </c>
      <c r="D33" s="549">
        <v>46037.63958333333</v>
      </c>
      <c r="E33" s="548" t="s">
        <v>1676</v>
      </c>
      <c r="F33" s="548" t="s">
        <v>1788</v>
      </c>
    </row>
    <row r="34" spans="1:6" hidden="1" x14ac:dyDescent="0.35">
      <c r="A34" s="571" t="s">
        <v>1582</v>
      </c>
      <c r="B34" s="571" t="s">
        <v>1561</v>
      </c>
      <c r="C34" s="550">
        <v>46044.513888888891</v>
      </c>
      <c r="D34" s="549">
        <v>46044.645833333336</v>
      </c>
      <c r="E34" s="548" t="s">
        <v>1775</v>
      </c>
      <c r="F34" s="548" t="s">
        <v>1788</v>
      </c>
    </row>
    <row r="35" spans="1:6" hidden="1" x14ac:dyDescent="0.35">
      <c r="A35" s="571" t="s">
        <v>1582</v>
      </c>
      <c r="B35" s="571" t="s">
        <v>1561</v>
      </c>
      <c r="C35" s="550">
        <v>46049.646527777775</v>
      </c>
      <c r="D35" s="549">
        <v>46049.685416666667</v>
      </c>
      <c r="E35" s="548" t="s">
        <v>1776</v>
      </c>
      <c r="F35" s="548" t="s">
        <v>1788</v>
      </c>
    </row>
    <row r="36" spans="1:6" hidden="1" x14ac:dyDescent="0.35">
      <c r="A36" s="571" t="s">
        <v>1586</v>
      </c>
      <c r="B36" s="571" t="s">
        <v>1587</v>
      </c>
      <c r="C36" s="551"/>
      <c r="D36" s="572">
        <v>46055.427083333336</v>
      </c>
      <c r="E36" s="571" t="s">
        <v>1645</v>
      </c>
      <c r="F36" s="571" t="s">
        <v>782</v>
      </c>
    </row>
    <row r="37" spans="1:6" hidden="1" x14ac:dyDescent="0.35">
      <c r="A37" s="571" t="s">
        <v>1586</v>
      </c>
      <c r="B37" s="571" t="s">
        <v>1587</v>
      </c>
      <c r="C37" s="572">
        <v>46055.479166666664</v>
      </c>
      <c r="D37" s="572">
        <v>46055.490972222222</v>
      </c>
      <c r="E37" s="571" t="s">
        <v>1696</v>
      </c>
      <c r="F37" s="571" t="s">
        <v>782</v>
      </c>
    </row>
    <row r="38" spans="1:6" hidden="1" x14ac:dyDescent="0.35">
      <c r="A38" s="571" t="s">
        <v>1586</v>
      </c>
      <c r="B38" s="571" t="s">
        <v>1587</v>
      </c>
      <c r="C38" s="551"/>
      <c r="D38" s="572">
        <v>46055.747916666667</v>
      </c>
      <c r="E38" s="571" t="s">
        <v>1645</v>
      </c>
      <c r="F38" s="571" t="s">
        <v>782</v>
      </c>
    </row>
    <row r="39" spans="1:6" hidden="1" x14ac:dyDescent="0.35">
      <c r="A39" s="571" t="s">
        <v>1586</v>
      </c>
      <c r="B39" s="571" t="s">
        <v>1587</v>
      </c>
      <c r="C39" s="551"/>
      <c r="D39" s="572">
        <v>46064.40625</v>
      </c>
      <c r="E39" s="571" t="s">
        <v>1645</v>
      </c>
      <c r="F39" s="571" t="s">
        <v>782</v>
      </c>
    </row>
    <row r="40" spans="1:6" hidden="1" x14ac:dyDescent="0.35">
      <c r="A40" s="571" t="s">
        <v>1586</v>
      </c>
      <c r="B40" s="571" t="s">
        <v>1587</v>
      </c>
      <c r="C40" s="572">
        <v>46064.664583333331</v>
      </c>
      <c r="D40" s="572">
        <v>46064.672222222223</v>
      </c>
      <c r="E40" s="571" t="s">
        <v>1703</v>
      </c>
      <c r="F40" s="571" t="s">
        <v>782</v>
      </c>
    </row>
    <row r="41" spans="1:6" hidden="1" x14ac:dyDescent="0.35">
      <c r="A41" s="571" t="s">
        <v>1586</v>
      </c>
      <c r="B41" s="571" t="s">
        <v>1587</v>
      </c>
      <c r="C41" s="572">
        <v>46064.71875</v>
      </c>
      <c r="D41" s="572">
        <v>46064.725694444445</v>
      </c>
      <c r="E41" s="571" t="s">
        <v>1704</v>
      </c>
      <c r="F41" s="571" t="s">
        <v>782</v>
      </c>
    </row>
    <row r="42" spans="1:6" hidden="1" x14ac:dyDescent="0.35">
      <c r="A42" s="571" t="s">
        <v>1586</v>
      </c>
      <c r="B42" s="571" t="s">
        <v>1587</v>
      </c>
      <c r="C42" s="572">
        <v>46071.416666666664</v>
      </c>
      <c r="D42" s="572">
        <v>46071.422222222223</v>
      </c>
      <c r="E42" s="571" t="s">
        <v>1701</v>
      </c>
      <c r="F42" s="571" t="s">
        <v>782</v>
      </c>
    </row>
    <row r="43" spans="1:6" hidden="1" x14ac:dyDescent="0.35">
      <c r="A43" s="571" t="s">
        <v>1586</v>
      </c>
      <c r="B43" s="571" t="s">
        <v>1587</v>
      </c>
      <c r="C43" s="551"/>
      <c r="D43" s="572">
        <v>46071.761805555558</v>
      </c>
      <c r="E43" s="571" t="s">
        <v>1645</v>
      </c>
      <c r="F43" s="571" t="s">
        <v>782</v>
      </c>
    </row>
    <row r="44" spans="1:6" hidden="1" x14ac:dyDescent="0.35">
      <c r="A44" s="571" t="s">
        <v>1681</v>
      </c>
      <c r="B44" s="571" t="s">
        <v>1682</v>
      </c>
      <c r="C44" s="551"/>
      <c r="D44" s="551"/>
      <c r="E44" s="571" t="s">
        <v>1645</v>
      </c>
      <c r="F44" s="571" t="s">
        <v>782</v>
      </c>
    </row>
    <row r="45" spans="1:6" hidden="1" x14ac:dyDescent="0.35">
      <c r="A45" s="571" t="s">
        <v>1681</v>
      </c>
      <c r="B45" s="571" t="s">
        <v>1682</v>
      </c>
      <c r="C45" s="572">
        <v>46080.381944444445</v>
      </c>
      <c r="D45" s="572">
        <v>46080.419444444444</v>
      </c>
      <c r="E45" s="571" t="s">
        <v>1801</v>
      </c>
      <c r="F45" s="571" t="s">
        <v>782</v>
      </c>
    </row>
    <row r="46" spans="1:6" hidden="1" x14ac:dyDescent="0.35">
      <c r="A46" s="571" t="s">
        <v>1583</v>
      </c>
      <c r="B46" s="571" t="s">
        <v>1562</v>
      </c>
      <c r="C46" s="572">
        <v>46055.320833333331</v>
      </c>
      <c r="D46" s="572">
        <v>46055.35</v>
      </c>
      <c r="E46" s="571" t="s">
        <v>1648</v>
      </c>
      <c r="F46" s="571" t="s">
        <v>782</v>
      </c>
    </row>
    <row r="47" spans="1:6" hidden="1" x14ac:dyDescent="0.35">
      <c r="A47" s="571" t="s">
        <v>1583</v>
      </c>
      <c r="B47" s="571" t="s">
        <v>1562</v>
      </c>
      <c r="C47" s="551"/>
      <c r="D47" s="572">
        <v>46055.747916666667</v>
      </c>
      <c r="E47" s="571" t="s">
        <v>1645</v>
      </c>
      <c r="F47" s="571" t="s">
        <v>782</v>
      </c>
    </row>
    <row r="48" spans="1:6" hidden="1" x14ac:dyDescent="0.35">
      <c r="A48" s="571" t="s">
        <v>1583</v>
      </c>
      <c r="B48" s="571" t="s">
        <v>1562</v>
      </c>
      <c r="C48" s="572">
        <v>46064.365972222222</v>
      </c>
      <c r="D48" s="572">
        <v>46064.392361111109</v>
      </c>
      <c r="E48" s="571" t="s">
        <v>1684</v>
      </c>
      <c r="F48" s="571" t="s">
        <v>782</v>
      </c>
    </row>
    <row r="49" spans="1:6" hidden="1" x14ac:dyDescent="0.35">
      <c r="A49" s="571" t="s">
        <v>1583</v>
      </c>
      <c r="B49" s="571" t="s">
        <v>1562</v>
      </c>
      <c r="C49" s="572">
        <v>46064.71875</v>
      </c>
      <c r="D49" s="572">
        <v>46064.724999999999</v>
      </c>
      <c r="E49" s="571" t="s">
        <v>1667</v>
      </c>
      <c r="F49" s="571" t="s">
        <v>782</v>
      </c>
    </row>
    <row r="50" spans="1:6" hidden="1" x14ac:dyDescent="0.35">
      <c r="A50" s="571" t="s">
        <v>1583</v>
      </c>
      <c r="B50" s="571" t="s">
        <v>1562</v>
      </c>
      <c r="C50" s="551"/>
      <c r="D50" s="572">
        <v>46064.772916666669</v>
      </c>
      <c r="E50" s="571" t="s">
        <v>1645</v>
      </c>
      <c r="F50" s="571" t="s">
        <v>782</v>
      </c>
    </row>
    <row r="51" spans="1:6" hidden="1" x14ac:dyDescent="0.35">
      <c r="A51" s="571" t="s">
        <v>1583</v>
      </c>
      <c r="B51" s="571" t="s">
        <v>1562</v>
      </c>
      <c r="C51" s="551"/>
      <c r="D51" s="572">
        <v>46071.407638888886</v>
      </c>
      <c r="E51" s="571" t="s">
        <v>1645</v>
      </c>
      <c r="F51" s="571" t="s">
        <v>782</v>
      </c>
    </row>
    <row r="52" spans="1:6" hidden="1" x14ac:dyDescent="0.35">
      <c r="A52" s="571" t="s">
        <v>1583</v>
      </c>
      <c r="B52" s="571" t="s">
        <v>1562</v>
      </c>
      <c r="C52" s="551"/>
      <c r="D52" s="572">
        <v>46071.767361111109</v>
      </c>
      <c r="E52" s="571" t="s">
        <v>1645</v>
      </c>
      <c r="F52" s="571" t="s">
        <v>782</v>
      </c>
    </row>
    <row r="53" spans="1:6" hidden="1" x14ac:dyDescent="0.35">
      <c r="A53" s="571" t="s">
        <v>1583</v>
      </c>
      <c r="B53" s="571" t="s">
        <v>1562</v>
      </c>
      <c r="C53" s="551"/>
      <c r="D53" s="572">
        <v>46073.387499999997</v>
      </c>
      <c r="E53" s="571" t="s">
        <v>1645</v>
      </c>
      <c r="F53" s="571" t="s">
        <v>782</v>
      </c>
    </row>
    <row r="54" spans="1:6" hidden="1" x14ac:dyDescent="0.35">
      <c r="A54" s="571" t="s">
        <v>1583</v>
      </c>
      <c r="B54" s="571" t="s">
        <v>1562</v>
      </c>
      <c r="C54" s="551"/>
      <c r="D54" s="572">
        <v>46073.558333333334</v>
      </c>
      <c r="E54" s="571" t="s">
        <v>1645</v>
      </c>
      <c r="F54" s="571" t="s">
        <v>782</v>
      </c>
    </row>
    <row r="55" spans="1:6" hidden="1" x14ac:dyDescent="0.35">
      <c r="A55" s="571" t="s">
        <v>1583</v>
      </c>
      <c r="B55" s="571" t="s">
        <v>1562</v>
      </c>
      <c r="C55" s="551"/>
      <c r="D55" s="572">
        <v>46074.3</v>
      </c>
      <c r="E55" s="571" t="s">
        <v>1645</v>
      </c>
      <c r="F55" s="571" t="s">
        <v>782</v>
      </c>
    </row>
    <row r="56" spans="1:6" hidden="1" x14ac:dyDescent="0.35">
      <c r="A56" s="571" t="s">
        <v>1583</v>
      </c>
      <c r="B56" s="571" t="s">
        <v>1562</v>
      </c>
      <c r="C56" s="551"/>
      <c r="D56" s="572">
        <v>46074.332638888889</v>
      </c>
      <c r="E56" s="571" t="s">
        <v>1645</v>
      </c>
      <c r="F56" s="571" t="s">
        <v>782</v>
      </c>
    </row>
    <row r="57" spans="1:6" hidden="1" x14ac:dyDescent="0.35">
      <c r="A57" s="571" t="s">
        <v>1583</v>
      </c>
      <c r="B57" s="571" t="s">
        <v>1562</v>
      </c>
      <c r="C57" s="551"/>
      <c r="D57" s="572">
        <v>46078.350694444445</v>
      </c>
      <c r="E57" s="571" t="s">
        <v>1645</v>
      </c>
      <c r="F57" s="571" t="s">
        <v>782</v>
      </c>
    </row>
    <row r="58" spans="1:6" hidden="1" x14ac:dyDescent="0.35">
      <c r="A58" s="571" t="s">
        <v>1583</v>
      </c>
      <c r="B58" s="571" t="s">
        <v>1562</v>
      </c>
      <c r="C58" s="572">
        <v>46078.352777777778</v>
      </c>
      <c r="D58" s="572">
        <v>46078.367361111108</v>
      </c>
      <c r="E58" s="571" t="s">
        <v>1662</v>
      </c>
      <c r="F58" s="571" t="s">
        <v>782</v>
      </c>
    </row>
    <row r="59" spans="1:6" hidden="1" x14ac:dyDescent="0.35">
      <c r="A59" s="571" t="s">
        <v>1583</v>
      </c>
      <c r="B59" s="571" t="s">
        <v>1562</v>
      </c>
      <c r="C59" s="551"/>
      <c r="D59" s="572">
        <v>46078.65625</v>
      </c>
      <c r="E59" s="571" t="s">
        <v>1645</v>
      </c>
      <c r="F59" s="571" t="s">
        <v>782</v>
      </c>
    </row>
    <row r="60" spans="1:6" hidden="1" x14ac:dyDescent="0.35">
      <c r="A60" s="571" t="s">
        <v>1588</v>
      </c>
      <c r="B60" s="571" t="s">
        <v>1589</v>
      </c>
      <c r="C60" s="551"/>
      <c r="D60" s="572">
        <v>46055.427083333336</v>
      </c>
      <c r="E60" s="571" t="s">
        <v>1645</v>
      </c>
      <c r="F60" s="571" t="s">
        <v>782</v>
      </c>
    </row>
    <row r="61" spans="1:6" hidden="1" x14ac:dyDescent="0.35">
      <c r="A61" s="571" t="s">
        <v>1588</v>
      </c>
      <c r="B61" s="571" t="s">
        <v>1589</v>
      </c>
      <c r="C61" s="572">
        <v>46055.479861111111</v>
      </c>
      <c r="D61" s="572">
        <v>46055.490972222222</v>
      </c>
      <c r="E61" s="571" t="s">
        <v>1802</v>
      </c>
      <c r="F61" s="571" t="s">
        <v>782</v>
      </c>
    </row>
    <row r="62" spans="1:6" hidden="1" x14ac:dyDescent="0.35">
      <c r="A62" s="571" t="s">
        <v>1588</v>
      </c>
      <c r="B62" s="571" t="s">
        <v>1589</v>
      </c>
      <c r="C62" s="551"/>
      <c r="D62" s="572">
        <v>46055.747916666667</v>
      </c>
      <c r="E62" s="571" t="s">
        <v>1645</v>
      </c>
      <c r="F62" s="571" t="s">
        <v>782</v>
      </c>
    </row>
    <row r="63" spans="1:6" hidden="1" x14ac:dyDescent="0.35">
      <c r="A63" s="571" t="s">
        <v>1588</v>
      </c>
      <c r="B63" s="571" t="s">
        <v>1589</v>
      </c>
      <c r="C63" s="551"/>
      <c r="D63" s="572">
        <v>46064.40625</v>
      </c>
      <c r="E63" s="571" t="s">
        <v>1645</v>
      </c>
      <c r="F63" s="571" t="s">
        <v>782</v>
      </c>
    </row>
    <row r="64" spans="1:6" hidden="1" x14ac:dyDescent="0.35">
      <c r="A64" s="571" t="s">
        <v>1588</v>
      </c>
      <c r="B64" s="571" t="s">
        <v>1589</v>
      </c>
      <c r="C64" s="572">
        <v>46064.720833333333</v>
      </c>
      <c r="D64" s="572">
        <v>46064.724999999999</v>
      </c>
      <c r="E64" s="571" t="s">
        <v>1659</v>
      </c>
      <c r="F64" s="571" t="s">
        <v>782</v>
      </c>
    </row>
    <row r="65" spans="1:6" hidden="1" x14ac:dyDescent="0.35">
      <c r="A65" s="571" t="s">
        <v>1584</v>
      </c>
      <c r="B65" s="571" t="s">
        <v>1563</v>
      </c>
      <c r="C65" s="572">
        <v>46055.334722222222</v>
      </c>
      <c r="D65" s="572">
        <v>46055.406944444447</v>
      </c>
      <c r="E65" s="571" t="s">
        <v>1803</v>
      </c>
      <c r="F65" s="571" t="s">
        <v>782</v>
      </c>
    </row>
    <row r="66" spans="1:6" hidden="1" x14ac:dyDescent="0.35">
      <c r="A66" s="571" t="s">
        <v>1584</v>
      </c>
      <c r="B66" s="571" t="s">
        <v>1563</v>
      </c>
      <c r="C66" s="572">
        <v>46055.42083333333</v>
      </c>
      <c r="D66" s="572">
        <v>46055.427083333336</v>
      </c>
      <c r="E66" s="571" t="s">
        <v>1667</v>
      </c>
      <c r="F66" s="571" t="s">
        <v>782</v>
      </c>
    </row>
    <row r="67" spans="1:6" hidden="1" x14ac:dyDescent="0.35">
      <c r="A67" s="571" t="s">
        <v>1584</v>
      </c>
      <c r="B67" s="571" t="s">
        <v>1563</v>
      </c>
      <c r="C67" s="572">
        <v>46055.583333333336</v>
      </c>
      <c r="D67" s="572">
        <v>46055.649305555555</v>
      </c>
      <c r="E67" s="571" t="s">
        <v>1804</v>
      </c>
      <c r="F67" s="571" t="s">
        <v>782</v>
      </c>
    </row>
    <row r="68" spans="1:6" hidden="1" x14ac:dyDescent="0.35">
      <c r="A68" s="571" t="s">
        <v>1584</v>
      </c>
      <c r="B68" s="571" t="s">
        <v>1563</v>
      </c>
      <c r="C68" s="551"/>
      <c r="D68" s="572">
        <v>46055.749305555553</v>
      </c>
      <c r="E68" s="571" t="s">
        <v>1645</v>
      </c>
      <c r="F68" s="571" t="s">
        <v>782</v>
      </c>
    </row>
    <row r="69" spans="1:6" hidden="1" x14ac:dyDescent="0.35">
      <c r="A69" s="571" t="s">
        <v>1584</v>
      </c>
      <c r="B69" s="571" t="s">
        <v>1563</v>
      </c>
      <c r="C69" s="572">
        <v>46057.327777777777</v>
      </c>
      <c r="D69" s="572">
        <v>46057.707638888889</v>
      </c>
      <c r="E69" s="571" t="s">
        <v>1651</v>
      </c>
      <c r="F69" s="571" t="s">
        <v>782</v>
      </c>
    </row>
    <row r="70" spans="1:6" hidden="1" x14ac:dyDescent="0.35">
      <c r="A70" s="571" t="s">
        <v>1584</v>
      </c>
      <c r="B70" s="571" t="s">
        <v>1563</v>
      </c>
      <c r="C70" s="572">
        <v>46059.239583333336</v>
      </c>
      <c r="D70" s="572">
        <v>46059.576388888891</v>
      </c>
      <c r="E70" s="571" t="s">
        <v>1651</v>
      </c>
      <c r="F70" s="571" t="s">
        <v>782</v>
      </c>
    </row>
    <row r="71" spans="1:6" hidden="1" x14ac:dyDescent="0.35">
      <c r="A71" s="571" t="s">
        <v>1584</v>
      </c>
      <c r="B71" s="571" t="s">
        <v>1563</v>
      </c>
      <c r="C71" s="572">
        <v>46062.326388888891</v>
      </c>
      <c r="D71" s="572">
        <v>46062.698611111111</v>
      </c>
      <c r="E71" s="571" t="s">
        <v>1651</v>
      </c>
      <c r="F71" s="571" t="s">
        <v>782</v>
      </c>
    </row>
    <row r="72" spans="1:6" hidden="1" x14ac:dyDescent="0.35">
      <c r="A72" s="571" t="s">
        <v>1584</v>
      </c>
      <c r="B72" s="571" t="s">
        <v>1563</v>
      </c>
      <c r="C72" s="572">
        <v>46063.331944444442</v>
      </c>
      <c r="D72" s="572">
        <v>46063.580555555556</v>
      </c>
      <c r="E72" s="571" t="s">
        <v>1805</v>
      </c>
      <c r="F72" s="571" t="s">
        <v>782</v>
      </c>
    </row>
    <row r="73" spans="1:6" hidden="1" x14ac:dyDescent="0.35">
      <c r="A73" s="571" t="s">
        <v>1584</v>
      </c>
      <c r="B73" s="571" t="s">
        <v>1563</v>
      </c>
      <c r="C73" s="572">
        <v>46063.588194444441</v>
      </c>
      <c r="D73" s="572">
        <v>46063.699305555558</v>
      </c>
      <c r="E73" s="571" t="s">
        <v>1806</v>
      </c>
      <c r="F73" s="571" t="s">
        <v>782</v>
      </c>
    </row>
    <row r="74" spans="1:6" hidden="1" x14ac:dyDescent="0.35">
      <c r="A74" s="571" t="s">
        <v>1584</v>
      </c>
      <c r="B74" s="571" t="s">
        <v>1563</v>
      </c>
      <c r="C74" s="572">
        <v>46064.329861111109</v>
      </c>
      <c r="D74" s="572">
        <v>46064.362500000003</v>
      </c>
      <c r="E74" s="571" t="s">
        <v>1670</v>
      </c>
      <c r="F74" s="571" t="s">
        <v>782</v>
      </c>
    </row>
    <row r="75" spans="1:6" hidden="1" x14ac:dyDescent="0.35">
      <c r="A75" s="571" t="s">
        <v>1584</v>
      </c>
      <c r="B75" s="571" t="s">
        <v>1563</v>
      </c>
      <c r="C75" s="572">
        <v>46064.366666666669</v>
      </c>
      <c r="D75" s="572">
        <v>46064.412499999999</v>
      </c>
      <c r="E75" s="571" t="s">
        <v>1759</v>
      </c>
      <c r="F75" s="571" t="s">
        <v>782</v>
      </c>
    </row>
    <row r="76" spans="1:6" hidden="1" x14ac:dyDescent="0.35">
      <c r="A76" s="571" t="s">
        <v>1584</v>
      </c>
      <c r="B76" s="571" t="s">
        <v>1563</v>
      </c>
      <c r="C76" s="572">
        <v>46064.657638888886</v>
      </c>
      <c r="D76" s="572">
        <v>46064.70208333333</v>
      </c>
      <c r="E76" s="571" t="s">
        <v>1807</v>
      </c>
      <c r="F76" s="571" t="s">
        <v>782</v>
      </c>
    </row>
    <row r="77" spans="1:6" hidden="1" x14ac:dyDescent="0.35">
      <c r="A77" s="571" t="s">
        <v>1584</v>
      </c>
      <c r="B77" s="571" t="s">
        <v>1563</v>
      </c>
      <c r="C77" s="572">
        <v>46071.334722222222</v>
      </c>
      <c r="D77" s="572">
        <v>46071.354166666664</v>
      </c>
      <c r="E77" s="571" t="s">
        <v>1808</v>
      </c>
      <c r="F77" s="571" t="s">
        <v>782</v>
      </c>
    </row>
    <row r="78" spans="1:6" hidden="1" x14ac:dyDescent="0.35">
      <c r="A78" s="571" t="s">
        <v>1584</v>
      </c>
      <c r="B78" s="571" t="s">
        <v>1563</v>
      </c>
      <c r="C78" s="551"/>
      <c r="D78" s="572">
        <v>46071.761805555558</v>
      </c>
      <c r="E78" s="571" t="s">
        <v>1645</v>
      </c>
      <c r="F78" s="571" t="s">
        <v>782</v>
      </c>
    </row>
    <row r="79" spans="1:6" hidden="1" x14ac:dyDescent="0.35">
      <c r="A79" s="571" t="s">
        <v>1584</v>
      </c>
      <c r="B79" s="571" t="s">
        <v>1563</v>
      </c>
      <c r="C79" s="572">
        <v>46076.32708333333</v>
      </c>
      <c r="D79" s="572">
        <v>46076.700694444444</v>
      </c>
      <c r="E79" s="571" t="s">
        <v>1651</v>
      </c>
      <c r="F79" s="571" t="s">
        <v>782</v>
      </c>
    </row>
    <row r="80" spans="1:6" hidden="1" x14ac:dyDescent="0.35">
      <c r="A80" s="571" t="s">
        <v>1584</v>
      </c>
      <c r="B80" s="571" t="s">
        <v>1563</v>
      </c>
      <c r="C80" s="572">
        <v>46078.331250000003</v>
      </c>
      <c r="D80" s="572">
        <v>46078.701388888891</v>
      </c>
      <c r="E80" s="571" t="s">
        <v>1651</v>
      </c>
      <c r="F80" s="571" t="s">
        <v>782</v>
      </c>
    </row>
    <row r="81" spans="1:6" hidden="1" x14ac:dyDescent="0.35">
      <c r="A81" s="571" t="s">
        <v>1584</v>
      </c>
      <c r="B81" s="571" t="s">
        <v>1563</v>
      </c>
      <c r="C81" s="572">
        <v>46080.249305555553</v>
      </c>
      <c r="D81" s="572">
        <v>46080.57708333333</v>
      </c>
      <c r="E81" s="571" t="s">
        <v>1809</v>
      </c>
      <c r="F81" s="571" t="s">
        <v>782</v>
      </c>
    </row>
    <row r="82" spans="1:6" hidden="1" x14ac:dyDescent="0.35">
      <c r="A82" s="571" t="s">
        <v>1585</v>
      </c>
      <c r="B82" s="571" t="s">
        <v>1564</v>
      </c>
      <c r="C82" s="551"/>
      <c r="D82" s="572">
        <v>46055.427083333336</v>
      </c>
      <c r="E82" s="571" t="s">
        <v>1645</v>
      </c>
      <c r="F82" s="571" t="s">
        <v>782</v>
      </c>
    </row>
    <row r="83" spans="1:6" hidden="1" x14ac:dyDescent="0.35">
      <c r="A83" s="571" t="s">
        <v>1585</v>
      </c>
      <c r="B83" s="571" t="s">
        <v>1564</v>
      </c>
      <c r="C83" s="551"/>
      <c r="D83" s="572">
        <v>46055.747916666667</v>
      </c>
      <c r="E83" s="571" t="s">
        <v>1645</v>
      </c>
      <c r="F83" s="571" t="s">
        <v>782</v>
      </c>
    </row>
    <row r="84" spans="1:6" hidden="1" x14ac:dyDescent="0.35">
      <c r="A84" s="571" t="s">
        <v>1585</v>
      </c>
      <c r="B84" s="571" t="s">
        <v>1564</v>
      </c>
      <c r="C84" s="551"/>
      <c r="D84" s="572">
        <v>46064.40625</v>
      </c>
      <c r="E84" s="571" t="s">
        <v>1645</v>
      </c>
      <c r="F84" s="571" t="s">
        <v>782</v>
      </c>
    </row>
    <row r="85" spans="1:6" hidden="1" x14ac:dyDescent="0.35">
      <c r="A85" s="571" t="s">
        <v>1585</v>
      </c>
      <c r="B85" s="571" t="s">
        <v>1564</v>
      </c>
      <c r="C85" s="572">
        <v>46064.720833333333</v>
      </c>
      <c r="D85" s="572">
        <v>46064.724999999999</v>
      </c>
      <c r="E85" s="571" t="s">
        <v>1659</v>
      </c>
      <c r="F85" s="571" t="s">
        <v>782</v>
      </c>
    </row>
    <row r="86" spans="1:6" hidden="1" x14ac:dyDescent="0.35">
      <c r="A86" s="571" t="s">
        <v>1585</v>
      </c>
      <c r="B86" s="571" t="s">
        <v>1564</v>
      </c>
      <c r="C86" s="572">
        <v>46071.414583333331</v>
      </c>
      <c r="D86" s="572">
        <v>46071.422222222223</v>
      </c>
      <c r="E86" s="571" t="s">
        <v>1703</v>
      </c>
      <c r="F86" s="571" t="s">
        <v>782</v>
      </c>
    </row>
    <row r="87" spans="1:6" hidden="1" x14ac:dyDescent="0.35">
      <c r="A87" s="571" t="s">
        <v>1585</v>
      </c>
      <c r="B87" s="571" t="s">
        <v>1564</v>
      </c>
      <c r="C87" s="551"/>
      <c r="D87" s="572">
        <v>46071.761111111111</v>
      </c>
      <c r="E87" s="571" t="s">
        <v>1645</v>
      </c>
      <c r="F87" s="571" t="s">
        <v>782</v>
      </c>
    </row>
    <row r="88" spans="1:6" hidden="1" x14ac:dyDescent="0.35">
      <c r="A88" s="571" t="s">
        <v>1585</v>
      </c>
      <c r="B88" s="571" t="s">
        <v>1564</v>
      </c>
      <c r="C88" s="551"/>
      <c r="D88" s="572">
        <v>46078.35833333333</v>
      </c>
      <c r="E88" s="571" t="s">
        <v>1645</v>
      </c>
      <c r="F88" s="571" t="s">
        <v>782</v>
      </c>
    </row>
    <row r="89" spans="1:6" hidden="1" x14ac:dyDescent="0.35">
      <c r="A89" s="571" t="s">
        <v>1585</v>
      </c>
      <c r="B89" s="571" t="s">
        <v>1564</v>
      </c>
      <c r="C89" s="551"/>
      <c r="D89" s="572">
        <v>46078.670138888891</v>
      </c>
      <c r="E89" s="571" t="s">
        <v>1645</v>
      </c>
      <c r="F89" s="571" t="s">
        <v>782</v>
      </c>
    </row>
    <row r="90" spans="1:6" hidden="1" x14ac:dyDescent="0.35">
      <c r="A90" s="571" t="s">
        <v>1582</v>
      </c>
      <c r="B90" s="571" t="s">
        <v>1561</v>
      </c>
      <c r="C90" s="550">
        <v>46051.567361111112</v>
      </c>
      <c r="D90" s="549">
        <v>46051.669444444444</v>
      </c>
      <c r="E90" s="548" t="s">
        <v>1685</v>
      </c>
      <c r="F90" s="548" t="s">
        <v>1788</v>
      </c>
    </row>
    <row r="91" spans="1:6" hidden="1" x14ac:dyDescent="0.35">
      <c r="A91" s="571" t="s">
        <v>1582</v>
      </c>
      <c r="B91" s="571" t="s">
        <v>1561</v>
      </c>
      <c r="C91" s="550">
        <v>46052.496527777781</v>
      </c>
      <c r="D91" s="549">
        <v>46052.560416666667</v>
      </c>
      <c r="E91" s="548" t="s">
        <v>1777</v>
      </c>
      <c r="F91" s="548" t="s">
        <v>1788</v>
      </c>
    </row>
    <row r="92" spans="1:6" x14ac:dyDescent="0.35">
      <c r="A92" s="571" t="s">
        <v>1582</v>
      </c>
      <c r="B92" s="571" t="s">
        <v>1561</v>
      </c>
      <c r="C92" s="572">
        <v>46071.30972222222</v>
      </c>
      <c r="D92" s="572">
        <v>46071.348611111112</v>
      </c>
      <c r="E92" s="571" t="s">
        <v>1776</v>
      </c>
      <c r="F92" s="571" t="s">
        <v>1008</v>
      </c>
    </row>
    <row r="93" spans="1:6" x14ac:dyDescent="0.35">
      <c r="A93" s="571" t="s">
        <v>1582</v>
      </c>
      <c r="B93" s="571" t="s">
        <v>1561</v>
      </c>
      <c r="C93" s="572">
        <v>46071.414583333331</v>
      </c>
      <c r="D93" s="572">
        <v>46071.422222222223</v>
      </c>
      <c r="E93" s="571" t="s">
        <v>1703</v>
      </c>
      <c r="F93" s="571" t="s">
        <v>782</v>
      </c>
    </row>
    <row r="94" spans="1:6" hidden="1" x14ac:dyDescent="0.35">
      <c r="A94" s="571" t="s">
        <v>1586</v>
      </c>
      <c r="B94" s="571" t="s">
        <v>1587</v>
      </c>
      <c r="C94" s="572">
        <v>46063.549305555556</v>
      </c>
      <c r="D94" s="572">
        <v>46063.632638888892</v>
      </c>
      <c r="E94" s="571" t="s">
        <v>1774</v>
      </c>
      <c r="F94" s="571" t="s">
        <v>1817</v>
      </c>
    </row>
    <row r="95" spans="1:6" hidden="1" x14ac:dyDescent="0.35">
      <c r="A95" s="571" t="s">
        <v>1586</v>
      </c>
      <c r="B95" s="571" t="s">
        <v>1587</v>
      </c>
      <c r="C95" s="572">
        <v>46073.37222222222</v>
      </c>
      <c r="D95" s="572">
        <v>46073.501388888886</v>
      </c>
      <c r="E95" s="571" t="s">
        <v>1813</v>
      </c>
      <c r="F95" s="571" t="s">
        <v>1817</v>
      </c>
    </row>
    <row r="96" spans="1:6" hidden="1" x14ac:dyDescent="0.35">
      <c r="A96" s="571" t="s">
        <v>1586</v>
      </c>
      <c r="B96" s="571" t="s">
        <v>1587</v>
      </c>
      <c r="C96" s="572">
        <v>46073.539583333331</v>
      </c>
      <c r="D96" s="572">
        <v>46073.570138888892</v>
      </c>
      <c r="E96" s="571" t="s">
        <v>1772</v>
      </c>
      <c r="F96" s="571" t="s">
        <v>1817</v>
      </c>
    </row>
    <row r="97" spans="1:6" hidden="1" x14ac:dyDescent="0.35">
      <c r="A97" s="571" t="s">
        <v>1588</v>
      </c>
      <c r="B97" s="571" t="s">
        <v>1589</v>
      </c>
      <c r="C97" s="572">
        <v>46063.54791666667</v>
      </c>
      <c r="D97" s="572">
        <v>46063.632638888892</v>
      </c>
      <c r="E97" s="571" t="s">
        <v>1673</v>
      </c>
      <c r="F97" s="571" t="s">
        <v>1817</v>
      </c>
    </row>
    <row r="98" spans="1:6" hidden="1" x14ac:dyDescent="0.35">
      <c r="A98" s="571" t="s">
        <v>1584</v>
      </c>
      <c r="B98" s="571" t="s">
        <v>1563</v>
      </c>
      <c r="C98" s="572">
        <v>46072.399305555555</v>
      </c>
      <c r="D98" s="572">
        <v>46072.508333333331</v>
      </c>
      <c r="E98" s="571" t="s">
        <v>1814</v>
      </c>
      <c r="F98" s="571" t="s">
        <v>1817</v>
      </c>
    </row>
    <row r="99" spans="1:6" hidden="1" x14ac:dyDescent="0.35">
      <c r="A99" s="571" t="s">
        <v>1584</v>
      </c>
      <c r="B99" s="571" t="s">
        <v>1563</v>
      </c>
      <c r="C99" s="572">
        <v>46072.54791666667</v>
      </c>
      <c r="D99" s="572">
        <v>46072.720833333333</v>
      </c>
      <c r="E99" s="571" t="s">
        <v>1815</v>
      </c>
      <c r="F99" s="571" t="s">
        <v>1817</v>
      </c>
    </row>
    <row r="100" spans="1:6" hidden="1" x14ac:dyDescent="0.35">
      <c r="A100" s="571" t="s">
        <v>1584</v>
      </c>
      <c r="B100" s="571" t="s">
        <v>1563</v>
      </c>
      <c r="C100" s="572">
        <v>46073.324999999997</v>
      </c>
      <c r="D100" s="572">
        <v>46073.501388888886</v>
      </c>
      <c r="E100" s="571" t="s">
        <v>1816</v>
      </c>
      <c r="F100" s="571" t="s">
        <v>1817</v>
      </c>
    </row>
    <row r="101" spans="1:6" hidden="1" x14ac:dyDescent="0.35">
      <c r="A101" s="571" t="s">
        <v>1584</v>
      </c>
      <c r="B101" s="571" t="s">
        <v>1563</v>
      </c>
      <c r="C101" s="572">
        <v>46073.539583333331</v>
      </c>
      <c r="D101" s="572">
        <v>46073.592361111114</v>
      </c>
      <c r="E101" s="571" t="s">
        <v>1664</v>
      </c>
      <c r="F101" s="571" t="s">
        <v>1817</v>
      </c>
    </row>
    <row r="102" spans="1:6" hidden="1" x14ac:dyDescent="0.35">
      <c r="A102" s="571" t="s">
        <v>1585</v>
      </c>
      <c r="B102" s="571" t="s">
        <v>1564</v>
      </c>
      <c r="C102" s="572">
        <v>46072.40347222222</v>
      </c>
      <c r="D102" s="572">
        <v>46072.508333333331</v>
      </c>
      <c r="E102" s="571" t="s">
        <v>1812</v>
      </c>
      <c r="F102" s="571" t="s">
        <v>1817</v>
      </c>
    </row>
    <row r="103" spans="1:6" hidden="1" x14ac:dyDescent="0.35">
      <c r="A103" s="571" t="s">
        <v>1585</v>
      </c>
      <c r="B103" s="571" t="s">
        <v>1564</v>
      </c>
      <c r="C103" s="572">
        <v>46072.547222222223</v>
      </c>
      <c r="D103" s="572">
        <v>46072.720833333333</v>
      </c>
      <c r="E103" s="571" t="s">
        <v>1713</v>
      </c>
      <c r="F103" s="571" t="s">
        <v>1817</v>
      </c>
    </row>
    <row r="104" spans="1:6" hidden="1" x14ac:dyDescent="0.35">
      <c r="A104" s="571" t="s">
        <v>1585</v>
      </c>
      <c r="B104" s="571" t="s">
        <v>1564</v>
      </c>
      <c r="C104" s="572">
        <v>46073.3</v>
      </c>
      <c r="D104" s="572">
        <v>46073.408333333333</v>
      </c>
      <c r="E104" s="571" t="s">
        <v>1780</v>
      </c>
      <c r="F104" s="571" t="s">
        <v>1817</v>
      </c>
    </row>
    <row r="105" spans="1:6" hidden="1" x14ac:dyDescent="0.35">
      <c r="A105" s="571" t="s">
        <v>1585</v>
      </c>
      <c r="B105" s="571" t="s">
        <v>1564</v>
      </c>
      <c r="C105" s="572">
        <v>46073.539583333331</v>
      </c>
      <c r="D105" s="572">
        <v>46073.644444444442</v>
      </c>
      <c r="E105" s="571" t="s">
        <v>1812</v>
      </c>
      <c r="F105" s="571" t="s">
        <v>1817</v>
      </c>
    </row>
    <row r="106" spans="1:6" hidden="1" x14ac:dyDescent="0.35">
      <c r="A106" s="571" t="s">
        <v>1585</v>
      </c>
      <c r="B106" s="571" t="s">
        <v>1564</v>
      </c>
      <c r="C106" s="551"/>
      <c r="D106" s="572">
        <v>46076.446527777778</v>
      </c>
      <c r="E106" s="571" t="s">
        <v>1645</v>
      </c>
      <c r="F106" s="571" t="s">
        <v>1817</v>
      </c>
    </row>
    <row r="107" spans="1:6" hidden="1" x14ac:dyDescent="0.35">
      <c r="A107" s="571" t="s">
        <v>1585</v>
      </c>
      <c r="B107" s="571" t="s">
        <v>1564</v>
      </c>
      <c r="C107" s="572">
        <v>46080.544444444444</v>
      </c>
      <c r="D107" s="572">
        <v>46080.567361111112</v>
      </c>
      <c r="E107" s="571" t="s">
        <v>1771</v>
      </c>
      <c r="F107" s="571" t="s">
        <v>1817</v>
      </c>
    </row>
    <row r="108" spans="1:6" x14ac:dyDescent="0.35">
      <c r="A108" s="571" t="s">
        <v>1582</v>
      </c>
      <c r="B108" s="571" t="s">
        <v>1561</v>
      </c>
      <c r="C108" s="572">
        <v>46072.313194444447</v>
      </c>
      <c r="D108" s="572">
        <v>46072.361111111109</v>
      </c>
      <c r="E108" s="571" t="s">
        <v>1671</v>
      </c>
      <c r="F108" s="571" t="s">
        <v>1008</v>
      </c>
    </row>
    <row r="109" spans="1:6" x14ac:dyDescent="0.35">
      <c r="A109" s="571" t="s">
        <v>1582</v>
      </c>
      <c r="B109" s="571" t="s">
        <v>1561</v>
      </c>
      <c r="C109" s="570">
        <v>46072.512499999997</v>
      </c>
      <c r="D109" s="570">
        <v>46072.543749999997</v>
      </c>
      <c r="E109" s="571" t="s">
        <v>1644</v>
      </c>
      <c r="F109" s="571" t="s">
        <v>1596</v>
      </c>
    </row>
    <row r="110" spans="1:6" x14ac:dyDescent="0.35">
      <c r="A110" s="571" t="s">
        <v>1582</v>
      </c>
      <c r="B110" s="571" t="s">
        <v>1561</v>
      </c>
      <c r="C110" s="572">
        <v>46072.549305555556</v>
      </c>
      <c r="D110" s="572">
        <v>46072.720833333333</v>
      </c>
      <c r="E110" s="571" t="s">
        <v>1810</v>
      </c>
      <c r="F110" s="571" t="s">
        <v>1817</v>
      </c>
    </row>
    <row r="111" spans="1:6" x14ac:dyDescent="0.35">
      <c r="A111" s="571" t="s">
        <v>1582</v>
      </c>
      <c r="B111" s="571" t="s">
        <v>1561</v>
      </c>
      <c r="C111" s="572">
        <v>46073.254861111112</v>
      </c>
      <c r="D111" s="572">
        <v>46073.279166666667</v>
      </c>
      <c r="E111" s="571" t="s">
        <v>1702</v>
      </c>
      <c r="F111" s="571" t="s">
        <v>1008</v>
      </c>
    </row>
    <row r="112" spans="1:6" x14ac:dyDescent="0.35">
      <c r="A112" s="571" t="s">
        <v>1582</v>
      </c>
      <c r="B112" s="571" t="s">
        <v>1561</v>
      </c>
      <c r="C112" s="572">
        <v>46073.298611111109</v>
      </c>
      <c r="D112" s="572">
        <v>46073.501388888886</v>
      </c>
      <c r="E112" s="571" t="s">
        <v>1811</v>
      </c>
      <c r="F112" s="571" t="s">
        <v>1817</v>
      </c>
    </row>
    <row r="113" spans="1:6" x14ac:dyDescent="0.35">
      <c r="A113" s="571" t="s">
        <v>1582</v>
      </c>
      <c r="B113" s="571" t="s">
        <v>1561</v>
      </c>
      <c r="C113" s="570">
        <v>46073.505555555559</v>
      </c>
      <c r="D113" s="570">
        <v>46073.534722222219</v>
      </c>
      <c r="E113" s="571" t="s">
        <v>1648</v>
      </c>
      <c r="F113" s="571" t="s">
        <v>1596</v>
      </c>
    </row>
    <row r="114" spans="1:6" x14ac:dyDescent="0.35">
      <c r="A114" s="571" t="s">
        <v>1582</v>
      </c>
      <c r="B114" s="571" t="s">
        <v>1561</v>
      </c>
      <c r="C114" s="572">
        <v>46073.539583333331</v>
      </c>
      <c r="D114" s="572">
        <v>46073.644444444442</v>
      </c>
      <c r="E114" s="571" t="s">
        <v>1812</v>
      </c>
      <c r="F114" s="571" t="s">
        <v>1817</v>
      </c>
    </row>
    <row r="115" spans="1:6" x14ac:dyDescent="0.35">
      <c r="A115" s="571" t="s">
        <v>1582</v>
      </c>
      <c r="B115" s="571" t="s">
        <v>1561</v>
      </c>
      <c r="C115" s="572">
        <v>46074.291666666664</v>
      </c>
      <c r="D115" s="572">
        <v>46074.709027777775</v>
      </c>
      <c r="E115" s="571" t="s">
        <v>1651</v>
      </c>
      <c r="F115" s="571" t="s">
        <v>1008</v>
      </c>
    </row>
    <row r="116" spans="1:6" x14ac:dyDescent="0.35">
      <c r="A116" s="571" t="s">
        <v>1582</v>
      </c>
      <c r="B116" s="571" t="s">
        <v>1561</v>
      </c>
      <c r="C116" s="572">
        <v>46076.306944444441</v>
      </c>
      <c r="D116" s="572">
        <v>46076.399305555555</v>
      </c>
      <c r="E116" s="571" t="s">
        <v>1643</v>
      </c>
      <c r="F116" s="571" t="s">
        <v>1008</v>
      </c>
    </row>
    <row r="117" spans="1:6" x14ac:dyDescent="0.35">
      <c r="A117" s="571" t="s">
        <v>1582</v>
      </c>
      <c r="B117" s="571" t="s">
        <v>1561</v>
      </c>
      <c r="C117" s="572">
        <v>46076.436805555553</v>
      </c>
      <c r="D117" s="572">
        <v>46076.574305555558</v>
      </c>
      <c r="E117" s="571" t="s">
        <v>1640</v>
      </c>
      <c r="F117" s="571" t="s">
        <v>1008</v>
      </c>
    </row>
    <row r="118" spans="1:6" x14ac:dyDescent="0.35">
      <c r="A118" s="571" t="s">
        <v>1582</v>
      </c>
      <c r="B118" s="571" t="s">
        <v>1561</v>
      </c>
      <c r="C118" s="572">
        <v>46076.680555555555</v>
      </c>
      <c r="D118" s="572">
        <v>46076.737500000003</v>
      </c>
      <c r="E118" s="571" t="s">
        <v>1656</v>
      </c>
      <c r="F118" s="571" t="s">
        <v>1008</v>
      </c>
    </row>
    <row r="119" spans="1:6" x14ac:dyDescent="0.35">
      <c r="A119" s="571" t="s">
        <v>1582</v>
      </c>
      <c r="B119" s="571" t="s">
        <v>1561</v>
      </c>
      <c r="C119" s="572">
        <v>46077.325694444444</v>
      </c>
      <c r="D119" s="572">
        <v>46077.344444444447</v>
      </c>
      <c r="E119" s="571" t="s">
        <v>1699</v>
      </c>
      <c r="F119" s="571" t="s">
        <v>1008</v>
      </c>
    </row>
    <row r="120" spans="1:6" x14ac:dyDescent="0.35">
      <c r="A120" s="571" t="s">
        <v>1582</v>
      </c>
      <c r="B120" s="571" t="s">
        <v>1561</v>
      </c>
      <c r="C120" s="572">
        <v>46077.370833333334</v>
      </c>
      <c r="D120" s="572">
        <v>46077.69027777778</v>
      </c>
      <c r="E120" s="571" t="s">
        <v>1760</v>
      </c>
      <c r="F120" s="571" t="s">
        <v>1008</v>
      </c>
    </row>
    <row r="121" spans="1:6" x14ac:dyDescent="0.35">
      <c r="A121" s="571" t="s">
        <v>1582</v>
      </c>
      <c r="B121" s="571" t="s">
        <v>1561</v>
      </c>
      <c r="C121" s="572">
        <v>46078.311805555553</v>
      </c>
      <c r="D121" s="572">
        <v>46078.3125</v>
      </c>
      <c r="E121" s="571" t="s">
        <v>1653</v>
      </c>
      <c r="F121" s="571" t="s">
        <v>1008</v>
      </c>
    </row>
    <row r="122" spans="1:6" x14ac:dyDescent="0.35">
      <c r="A122" s="571" t="s">
        <v>1582</v>
      </c>
      <c r="B122" s="571" t="s">
        <v>1561</v>
      </c>
      <c r="C122" s="572">
        <v>46079.311805555553</v>
      </c>
      <c r="D122" s="572">
        <v>46079.352777777778</v>
      </c>
      <c r="E122" s="571" t="s">
        <v>1779</v>
      </c>
      <c r="F122" s="571" t="s">
        <v>1008</v>
      </c>
    </row>
    <row r="123" spans="1:6" x14ac:dyDescent="0.35">
      <c r="A123" s="571" t="s">
        <v>1582</v>
      </c>
      <c r="B123" s="571" t="s">
        <v>1561</v>
      </c>
      <c r="C123" s="572">
        <v>46079.365972222222</v>
      </c>
      <c r="D123" s="572">
        <v>46079.679166666669</v>
      </c>
      <c r="E123" s="571" t="s">
        <v>1860</v>
      </c>
      <c r="F123" s="571" t="s">
        <v>1788</v>
      </c>
    </row>
    <row r="124" spans="1:6" hidden="1" x14ac:dyDescent="0.35">
      <c r="A124" s="571" t="s">
        <v>1586</v>
      </c>
      <c r="B124" s="571" t="s">
        <v>1587</v>
      </c>
      <c r="C124" s="551"/>
      <c r="D124" s="572">
        <v>46055.307638888888</v>
      </c>
      <c r="E124" s="571" t="s">
        <v>1645</v>
      </c>
      <c r="F124" s="571" t="s">
        <v>1008</v>
      </c>
    </row>
    <row r="125" spans="1:6" hidden="1" x14ac:dyDescent="0.35">
      <c r="A125" s="571" t="s">
        <v>1586</v>
      </c>
      <c r="B125" s="571" t="s">
        <v>1587</v>
      </c>
      <c r="C125" s="572">
        <v>46055.365277777775</v>
      </c>
      <c r="D125" s="572">
        <v>46055.384722222225</v>
      </c>
      <c r="E125" s="571" t="s">
        <v>1808</v>
      </c>
      <c r="F125" s="571" t="s">
        <v>1008</v>
      </c>
    </row>
    <row r="126" spans="1:6" hidden="1" x14ac:dyDescent="0.35">
      <c r="A126" s="571" t="s">
        <v>1586</v>
      </c>
      <c r="B126" s="571" t="s">
        <v>1587</v>
      </c>
      <c r="C126" s="572">
        <v>46056.311111111114</v>
      </c>
      <c r="D126" s="572">
        <v>46056.387499999997</v>
      </c>
      <c r="E126" s="571" t="s">
        <v>1655</v>
      </c>
      <c r="F126" s="571" t="s">
        <v>1008</v>
      </c>
    </row>
    <row r="127" spans="1:6" hidden="1" x14ac:dyDescent="0.35">
      <c r="A127" s="571" t="s">
        <v>1586</v>
      </c>
      <c r="B127" s="571" t="s">
        <v>1587</v>
      </c>
      <c r="C127" s="572">
        <v>46056.428472222222</v>
      </c>
      <c r="D127" s="572">
        <v>46056.594444444447</v>
      </c>
      <c r="E127" s="571" t="s">
        <v>1730</v>
      </c>
      <c r="F127" s="571" t="s">
        <v>1008</v>
      </c>
    </row>
    <row r="128" spans="1:6" hidden="1" x14ac:dyDescent="0.35">
      <c r="A128" s="571" t="s">
        <v>1586</v>
      </c>
      <c r="B128" s="571" t="s">
        <v>1587</v>
      </c>
      <c r="C128" s="572">
        <v>46056.615972222222</v>
      </c>
      <c r="D128" s="572">
        <v>46056.697222222225</v>
      </c>
      <c r="E128" s="571" t="s">
        <v>1819</v>
      </c>
      <c r="F128" s="571" t="s">
        <v>1008</v>
      </c>
    </row>
    <row r="129" spans="1:6" hidden="1" x14ac:dyDescent="0.35">
      <c r="A129" s="571" t="s">
        <v>1586</v>
      </c>
      <c r="B129" s="571" t="s">
        <v>1587</v>
      </c>
      <c r="C129" s="572">
        <v>46057.313194444447</v>
      </c>
      <c r="D129" s="572">
        <v>46057.36041666667</v>
      </c>
      <c r="E129" s="571" t="s">
        <v>1820</v>
      </c>
      <c r="F129" s="571" t="s">
        <v>1008</v>
      </c>
    </row>
    <row r="130" spans="1:6" hidden="1" x14ac:dyDescent="0.35">
      <c r="A130" s="571" t="s">
        <v>1586</v>
      </c>
      <c r="B130" s="571" t="s">
        <v>1587</v>
      </c>
      <c r="C130" s="572">
        <v>46057.379166666666</v>
      </c>
      <c r="D130" s="572">
        <v>46057.690972222219</v>
      </c>
      <c r="E130" s="571" t="s">
        <v>1821</v>
      </c>
      <c r="F130" s="571" t="s">
        <v>1008</v>
      </c>
    </row>
    <row r="131" spans="1:6" hidden="1" x14ac:dyDescent="0.35">
      <c r="A131" s="571" t="s">
        <v>1586</v>
      </c>
      <c r="B131" s="571" t="s">
        <v>1587</v>
      </c>
      <c r="C131" s="551"/>
      <c r="D131" s="551"/>
      <c r="E131" s="571" t="s">
        <v>1645</v>
      </c>
      <c r="F131" s="571" t="s">
        <v>1008</v>
      </c>
    </row>
    <row r="132" spans="1:6" hidden="1" x14ac:dyDescent="0.35">
      <c r="A132" s="571" t="s">
        <v>1586</v>
      </c>
      <c r="B132" s="571" t="s">
        <v>1587</v>
      </c>
      <c r="C132" s="572">
        <v>46058.367361111108</v>
      </c>
      <c r="D132" s="572">
        <v>46058.381944444445</v>
      </c>
      <c r="E132" s="571" t="s">
        <v>1662</v>
      </c>
      <c r="F132" s="571" t="s">
        <v>1008</v>
      </c>
    </row>
    <row r="133" spans="1:6" hidden="1" x14ac:dyDescent="0.35">
      <c r="A133" s="571" t="s">
        <v>1586</v>
      </c>
      <c r="B133" s="571" t="s">
        <v>1587</v>
      </c>
      <c r="C133" s="551"/>
      <c r="D133" s="572">
        <v>46058.450694444444</v>
      </c>
      <c r="E133" s="571" t="s">
        <v>1645</v>
      </c>
      <c r="F133" s="571" t="s">
        <v>1008</v>
      </c>
    </row>
    <row r="134" spans="1:6" hidden="1" x14ac:dyDescent="0.35">
      <c r="A134" s="571" t="s">
        <v>1586</v>
      </c>
      <c r="B134" s="571" t="s">
        <v>1587</v>
      </c>
      <c r="C134" s="551"/>
      <c r="D134" s="572">
        <v>46058.68472222222</v>
      </c>
      <c r="E134" s="571" t="s">
        <v>1645</v>
      </c>
      <c r="F134" s="571" t="s">
        <v>1008</v>
      </c>
    </row>
    <row r="135" spans="1:6" hidden="1" x14ac:dyDescent="0.35">
      <c r="A135" s="571" t="s">
        <v>1586</v>
      </c>
      <c r="B135" s="571" t="s">
        <v>1587</v>
      </c>
      <c r="C135" s="572">
        <v>46059.248611111114</v>
      </c>
      <c r="D135" s="572">
        <v>46059.303472222222</v>
      </c>
      <c r="E135" s="571" t="s">
        <v>1675</v>
      </c>
      <c r="F135" s="571" t="s">
        <v>1008</v>
      </c>
    </row>
    <row r="136" spans="1:6" hidden="1" x14ac:dyDescent="0.35">
      <c r="A136" s="571" t="s">
        <v>1586</v>
      </c>
      <c r="B136" s="571" t="s">
        <v>1587</v>
      </c>
      <c r="C136" s="572">
        <v>46059.311111111114</v>
      </c>
      <c r="D136" s="572">
        <v>46059.445138888892</v>
      </c>
      <c r="E136" s="571" t="s">
        <v>1822</v>
      </c>
      <c r="F136" s="571" t="s">
        <v>1008</v>
      </c>
    </row>
    <row r="137" spans="1:6" hidden="1" x14ac:dyDescent="0.35">
      <c r="A137" s="571" t="s">
        <v>1586</v>
      </c>
      <c r="B137" s="571" t="s">
        <v>1587</v>
      </c>
      <c r="C137" s="572">
        <v>46059.506944444445</v>
      </c>
      <c r="D137" s="572">
        <v>46059.569444444445</v>
      </c>
      <c r="E137" s="571" t="s">
        <v>1823</v>
      </c>
      <c r="F137" s="571" t="s">
        <v>1008</v>
      </c>
    </row>
    <row r="138" spans="1:6" hidden="1" x14ac:dyDescent="0.35">
      <c r="A138" s="571" t="s">
        <v>1586</v>
      </c>
      <c r="B138" s="571" t="s">
        <v>1587</v>
      </c>
      <c r="C138" s="572">
        <v>46062.308333333334</v>
      </c>
      <c r="D138" s="572">
        <v>46062.37777777778</v>
      </c>
      <c r="E138" s="571" t="s">
        <v>1744</v>
      </c>
      <c r="F138" s="571" t="s">
        <v>1008</v>
      </c>
    </row>
    <row r="139" spans="1:6" hidden="1" x14ac:dyDescent="0.35">
      <c r="A139" s="571" t="s">
        <v>1586</v>
      </c>
      <c r="B139" s="571" t="s">
        <v>1587</v>
      </c>
      <c r="C139" s="572">
        <v>46062.414583333331</v>
      </c>
      <c r="D139" s="572">
        <v>46062.693749999999</v>
      </c>
      <c r="E139" s="571" t="s">
        <v>1824</v>
      </c>
      <c r="F139" s="571" t="s">
        <v>1008</v>
      </c>
    </row>
    <row r="140" spans="1:6" hidden="1" x14ac:dyDescent="0.35">
      <c r="A140" s="571" t="s">
        <v>1586</v>
      </c>
      <c r="B140" s="571" t="s">
        <v>1587</v>
      </c>
      <c r="C140" s="572">
        <v>46063.3125</v>
      </c>
      <c r="D140" s="572">
        <v>46063.351388888892</v>
      </c>
      <c r="E140" s="571" t="s">
        <v>1776</v>
      </c>
      <c r="F140" s="571" t="s">
        <v>1008</v>
      </c>
    </row>
    <row r="141" spans="1:6" hidden="1" x14ac:dyDescent="0.35">
      <c r="A141" s="571" t="s">
        <v>1586</v>
      </c>
      <c r="B141" s="571" t="s">
        <v>1587</v>
      </c>
      <c r="C141" s="572">
        <v>46064.3125</v>
      </c>
      <c r="D141" s="572">
        <v>46064.34097222222</v>
      </c>
      <c r="E141" s="571" t="s">
        <v>1683</v>
      </c>
      <c r="F141" s="571" t="s">
        <v>1008</v>
      </c>
    </row>
    <row r="142" spans="1:6" hidden="1" x14ac:dyDescent="0.35">
      <c r="A142" s="571" t="s">
        <v>1586</v>
      </c>
      <c r="B142" s="571" t="s">
        <v>1587</v>
      </c>
      <c r="C142" s="551"/>
      <c r="D142" s="572">
        <v>46064.779861111114</v>
      </c>
      <c r="E142" s="571" t="s">
        <v>1645</v>
      </c>
      <c r="F142" s="571" t="s">
        <v>1008</v>
      </c>
    </row>
    <row r="143" spans="1:6" hidden="1" x14ac:dyDescent="0.35">
      <c r="A143" s="571" t="s">
        <v>1586</v>
      </c>
      <c r="B143" s="571" t="s">
        <v>1587</v>
      </c>
      <c r="C143" s="572">
        <v>46065.310416666667</v>
      </c>
      <c r="D143" s="572">
        <v>46065.692361111112</v>
      </c>
      <c r="E143" s="571" t="s">
        <v>1651</v>
      </c>
      <c r="F143" s="571" t="s">
        <v>1008</v>
      </c>
    </row>
    <row r="144" spans="1:6" hidden="1" x14ac:dyDescent="0.35">
      <c r="A144" s="571" t="s">
        <v>1586</v>
      </c>
      <c r="B144" s="571" t="s">
        <v>1587</v>
      </c>
      <c r="C144" s="572">
        <v>46066.248611111114</v>
      </c>
      <c r="D144" s="572">
        <v>46066.277083333334</v>
      </c>
      <c r="E144" s="571" t="s">
        <v>1683</v>
      </c>
      <c r="F144" s="571" t="s">
        <v>1008</v>
      </c>
    </row>
    <row r="145" spans="1:6" hidden="1" x14ac:dyDescent="0.35">
      <c r="A145" s="571" t="s">
        <v>1586</v>
      </c>
      <c r="B145" s="571" t="s">
        <v>1587</v>
      </c>
      <c r="C145" s="572">
        <v>46066.667361111111</v>
      </c>
      <c r="D145" s="572">
        <v>46066.671527777777</v>
      </c>
      <c r="E145" s="571" t="s">
        <v>1659</v>
      </c>
      <c r="F145" s="571" t="s">
        <v>1008</v>
      </c>
    </row>
    <row r="146" spans="1:6" hidden="1" x14ac:dyDescent="0.35">
      <c r="A146" s="571" t="s">
        <v>1586</v>
      </c>
      <c r="B146" s="571" t="s">
        <v>1587</v>
      </c>
      <c r="C146" s="572">
        <v>46067.289583333331</v>
      </c>
      <c r="D146" s="572">
        <v>46067.375</v>
      </c>
      <c r="E146" s="571" t="s">
        <v>1825</v>
      </c>
      <c r="F146" s="571" t="s">
        <v>1008</v>
      </c>
    </row>
    <row r="147" spans="1:6" hidden="1" x14ac:dyDescent="0.35">
      <c r="A147" s="571" t="s">
        <v>1586</v>
      </c>
      <c r="B147" s="571" t="s">
        <v>1587</v>
      </c>
      <c r="C147" s="572">
        <v>46067.416666666664</v>
      </c>
      <c r="D147" s="572">
        <v>46067.742361111108</v>
      </c>
      <c r="E147" s="571" t="s">
        <v>1710</v>
      </c>
      <c r="F147" s="571" t="s">
        <v>1008</v>
      </c>
    </row>
    <row r="148" spans="1:6" hidden="1" x14ac:dyDescent="0.35">
      <c r="A148" s="571" t="s">
        <v>1586</v>
      </c>
      <c r="B148" s="571" t="s">
        <v>1587</v>
      </c>
      <c r="C148" s="572">
        <v>46070.291666666664</v>
      </c>
      <c r="D148" s="572">
        <v>46070.74722222222</v>
      </c>
      <c r="E148" s="571" t="s">
        <v>1651</v>
      </c>
      <c r="F148" s="571" t="s">
        <v>1008</v>
      </c>
    </row>
    <row r="149" spans="1:6" hidden="1" x14ac:dyDescent="0.35">
      <c r="A149" s="571" t="s">
        <v>1586</v>
      </c>
      <c r="B149" s="571" t="s">
        <v>1587</v>
      </c>
      <c r="C149" s="572">
        <v>46071.30972222222</v>
      </c>
      <c r="D149" s="572">
        <v>46071.349305555559</v>
      </c>
      <c r="E149" s="571" t="s">
        <v>1706</v>
      </c>
      <c r="F149" s="571" t="s">
        <v>1008</v>
      </c>
    </row>
    <row r="150" spans="1:6" hidden="1" x14ac:dyDescent="0.35">
      <c r="A150" s="571" t="s">
        <v>1586</v>
      </c>
      <c r="B150" s="571" t="s">
        <v>1587</v>
      </c>
      <c r="C150" s="572">
        <v>46071.800694444442</v>
      </c>
      <c r="D150" s="572">
        <v>46071.805555555555</v>
      </c>
      <c r="E150" s="571" t="s">
        <v>1669</v>
      </c>
      <c r="F150" s="571" t="s">
        <v>1008</v>
      </c>
    </row>
    <row r="151" spans="1:6" hidden="1" x14ac:dyDescent="0.35">
      <c r="A151" s="571" t="s">
        <v>1586</v>
      </c>
      <c r="B151" s="571" t="s">
        <v>1587</v>
      </c>
      <c r="C151" s="572">
        <v>46072.313888888886</v>
      </c>
      <c r="D151" s="572">
        <v>46072.689583333333</v>
      </c>
      <c r="E151" s="571" t="s">
        <v>1651</v>
      </c>
      <c r="F151" s="571" t="s">
        <v>1008</v>
      </c>
    </row>
    <row r="152" spans="1:6" hidden="1" x14ac:dyDescent="0.35">
      <c r="A152" s="571" t="s">
        <v>1586</v>
      </c>
      <c r="B152" s="571" t="s">
        <v>1587</v>
      </c>
      <c r="C152" s="572">
        <v>46073.253472222219</v>
      </c>
      <c r="D152" s="572">
        <v>46073.347222222219</v>
      </c>
      <c r="E152" s="571" t="s">
        <v>1826</v>
      </c>
      <c r="F152" s="571" t="s">
        <v>1008</v>
      </c>
    </row>
    <row r="153" spans="1:6" hidden="1" x14ac:dyDescent="0.35">
      <c r="A153" s="571" t="s">
        <v>1586</v>
      </c>
      <c r="B153" s="571" t="s">
        <v>1587</v>
      </c>
      <c r="C153" s="551"/>
      <c r="D153" s="572">
        <v>46073.615277777775</v>
      </c>
      <c r="E153" s="571" t="s">
        <v>1645</v>
      </c>
      <c r="F153" s="571" t="s">
        <v>1008</v>
      </c>
    </row>
    <row r="154" spans="1:6" hidden="1" x14ac:dyDescent="0.35">
      <c r="A154" s="571" t="s">
        <v>1586</v>
      </c>
      <c r="B154" s="571" t="s">
        <v>1587</v>
      </c>
      <c r="C154" s="572">
        <v>46074.291666666664</v>
      </c>
      <c r="D154" s="572">
        <v>46074.709027777775</v>
      </c>
      <c r="E154" s="571" t="s">
        <v>1651</v>
      </c>
      <c r="F154" s="571" t="s">
        <v>1008</v>
      </c>
    </row>
    <row r="155" spans="1:6" hidden="1" x14ac:dyDescent="0.35">
      <c r="A155" s="571" t="s">
        <v>1586</v>
      </c>
      <c r="B155" s="571" t="s">
        <v>1587</v>
      </c>
      <c r="C155" s="572">
        <v>46074.731249999997</v>
      </c>
      <c r="D155" s="572">
        <v>46074.74722222222</v>
      </c>
      <c r="E155" s="571" t="s">
        <v>1827</v>
      </c>
      <c r="F155" s="571" t="s">
        <v>1008</v>
      </c>
    </row>
    <row r="156" spans="1:6" hidden="1" x14ac:dyDescent="0.35">
      <c r="A156" s="571" t="s">
        <v>1586</v>
      </c>
      <c r="B156" s="571" t="s">
        <v>1587</v>
      </c>
      <c r="C156" s="572">
        <v>46076.311111111114</v>
      </c>
      <c r="D156" s="572">
        <v>46076.6875</v>
      </c>
      <c r="E156" s="571" t="s">
        <v>1651</v>
      </c>
      <c r="F156" s="571" t="s">
        <v>1008</v>
      </c>
    </row>
    <row r="157" spans="1:6" hidden="1" x14ac:dyDescent="0.35">
      <c r="A157" s="571" t="s">
        <v>1586</v>
      </c>
      <c r="B157" s="571" t="s">
        <v>1587</v>
      </c>
      <c r="C157" s="572">
        <v>46077.325694444444</v>
      </c>
      <c r="D157" s="572">
        <v>46077.689583333333</v>
      </c>
      <c r="E157" s="571" t="s">
        <v>1651</v>
      </c>
      <c r="F157" s="571" t="s">
        <v>1008</v>
      </c>
    </row>
    <row r="158" spans="1:6" hidden="1" x14ac:dyDescent="0.35">
      <c r="A158" s="571" t="s">
        <v>1586</v>
      </c>
      <c r="B158" s="571" t="s">
        <v>1587</v>
      </c>
      <c r="C158" s="572">
        <v>46078.308333333334</v>
      </c>
      <c r="D158" s="572">
        <v>46078.686111111114</v>
      </c>
      <c r="E158" s="571" t="s">
        <v>1651</v>
      </c>
      <c r="F158" s="571" t="s">
        <v>1008</v>
      </c>
    </row>
    <row r="159" spans="1:6" hidden="1" x14ac:dyDescent="0.35">
      <c r="A159" s="571" t="s">
        <v>1586</v>
      </c>
      <c r="B159" s="571" t="s">
        <v>1587</v>
      </c>
      <c r="C159" s="572">
        <v>46079.307638888888</v>
      </c>
      <c r="D159" s="572">
        <v>46079.690972222219</v>
      </c>
      <c r="E159" s="571" t="s">
        <v>1651</v>
      </c>
      <c r="F159" s="571" t="s">
        <v>1008</v>
      </c>
    </row>
    <row r="160" spans="1:6" hidden="1" x14ac:dyDescent="0.35">
      <c r="A160" s="571" t="s">
        <v>1586</v>
      </c>
      <c r="B160" s="571" t="s">
        <v>1587</v>
      </c>
      <c r="C160" s="572">
        <v>46080.247916666667</v>
      </c>
      <c r="D160" s="572">
        <v>46080.584027777775</v>
      </c>
      <c r="E160" s="571" t="s">
        <v>1651</v>
      </c>
      <c r="F160" s="571" t="s">
        <v>1008</v>
      </c>
    </row>
    <row r="161" spans="1:6" hidden="1" x14ac:dyDescent="0.35">
      <c r="A161" s="571" t="s">
        <v>1681</v>
      </c>
      <c r="B161" s="571" t="s">
        <v>1682</v>
      </c>
      <c r="C161" s="572">
        <v>46056.36041666667</v>
      </c>
      <c r="D161" s="572">
        <v>46056.699305555558</v>
      </c>
      <c r="E161" s="571" t="s">
        <v>1651</v>
      </c>
      <c r="F161" s="571" t="s">
        <v>1008</v>
      </c>
    </row>
    <row r="162" spans="1:6" hidden="1" x14ac:dyDescent="0.35">
      <c r="A162" s="571" t="s">
        <v>1681</v>
      </c>
      <c r="B162" s="571" t="s">
        <v>1682</v>
      </c>
      <c r="C162" s="572">
        <v>46057.584027777775</v>
      </c>
      <c r="D162" s="572">
        <v>46057.695833333331</v>
      </c>
      <c r="E162" s="571" t="s">
        <v>1828</v>
      </c>
      <c r="F162" s="571" t="s">
        <v>1008</v>
      </c>
    </row>
    <row r="163" spans="1:6" hidden="1" x14ac:dyDescent="0.35">
      <c r="A163" s="571" t="s">
        <v>1681</v>
      </c>
      <c r="B163" s="571" t="s">
        <v>1682</v>
      </c>
      <c r="C163" s="572">
        <v>46080.46875</v>
      </c>
      <c r="D163" s="572">
        <v>46080.57916666667</v>
      </c>
      <c r="E163" s="571" t="s">
        <v>1829</v>
      </c>
      <c r="F163" s="571" t="s">
        <v>1008</v>
      </c>
    </row>
    <row r="164" spans="1:6" hidden="1" x14ac:dyDescent="0.35">
      <c r="A164" s="571" t="s">
        <v>1583</v>
      </c>
      <c r="B164" s="571" t="s">
        <v>1562</v>
      </c>
      <c r="C164" s="572">
        <v>46056.325694444444</v>
      </c>
      <c r="D164" s="572">
        <v>46056.396527777775</v>
      </c>
      <c r="E164" s="571" t="s">
        <v>1692</v>
      </c>
      <c r="F164" s="571" t="s">
        <v>1008</v>
      </c>
    </row>
    <row r="165" spans="1:6" hidden="1" x14ac:dyDescent="0.35">
      <c r="A165" s="571" t="s">
        <v>1583</v>
      </c>
      <c r="B165" s="571" t="s">
        <v>1562</v>
      </c>
      <c r="C165" s="572">
        <v>46056.481249999997</v>
      </c>
      <c r="D165" s="572">
        <v>46056.579861111109</v>
      </c>
      <c r="E165" s="571" t="s">
        <v>1830</v>
      </c>
      <c r="F165" s="571" t="s">
        <v>1008</v>
      </c>
    </row>
    <row r="166" spans="1:6" hidden="1" x14ac:dyDescent="0.35">
      <c r="A166" s="571" t="s">
        <v>1583</v>
      </c>
      <c r="B166" s="571" t="s">
        <v>1562</v>
      </c>
      <c r="C166" s="572">
        <v>46056.668749999997</v>
      </c>
      <c r="D166" s="572">
        <v>46056.697916666664</v>
      </c>
      <c r="E166" s="571" t="s">
        <v>1648</v>
      </c>
      <c r="F166" s="571" t="s">
        <v>1008</v>
      </c>
    </row>
    <row r="167" spans="1:6" hidden="1" x14ac:dyDescent="0.35">
      <c r="A167" s="571" t="s">
        <v>1583</v>
      </c>
      <c r="B167" s="571" t="s">
        <v>1562</v>
      </c>
      <c r="C167" s="572">
        <v>46057.322916666664</v>
      </c>
      <c r="D167" s="572">
        <v>46057.424305555556</v>
      </c>
      <c r="E167" s="571" t="s">
        <v>1674</v>
      </c>
      <c r="F167" s="571" t="s">
        <v>1008</v>
      </c>
    </row>
    <row r="168" spans="1:6" hidden="1" x14ac:dyDescent="0.35">
      <c r="A168" s="571" t="s">
        <v>1583</v>
      </c>
      <c r="B168" s="571" t="s">
        <v>1562</v>
      </c>
      <c r="C168" s="572">
        <v>46057.511805555558</v>
      </c>
      <c r="D168" s="572">
        <v>46057.5625</v>
      </c>
      <c r="E168" s="571" t="s">
        <v>1831</v>
      </c>
      <c r="F168" s="571" t="s">
        <v>1008</v>
      </c>
    </row>
    <row r="169" spans="1:6" hidden="1" x14ac:dyDescent="0.35">
      <c r="A169" s="571" t="s">
        <v>1583</v>
      </c>
      <c r="B169" s="571" t="s">
        <v>1562</v>
      </c>
      <c r="C169" s="572">
        <v>46057.655555555553</v>
      </c>
      <c r="D169" s="572">
        <v>46057.691666666666</v>
      </c>
      <c r="E169" s="571" t="s">
        <v>1786</v>
      </c>
      <c r="F169" s="571" t="s">
        <v>1008</v>
      </c>
    </row>
    <row r="170" spans="1:6" hidden="1" x14ac:dyDescent="0.35">
      <c r="A170" s="571" t="s">
        <v>1583</v>
      </c>
      <c r="B170" s="571" t="s">
        <v>1562</v>
      </c>
      <c r="C170" s="572">
        <v>46058.333333333336</v>
      </c>
      <c r="D170" s="572">
        <v>46058.45416666667</v>
      </c>
      <c r="E170" s="571" t="s">
        <v>1832</v>
      </c>
      <c r="F170" s="571" t="s">
        <v>1008</v>
      </c>
    </row>
    <row r="171" spans="1:6" hidden="1" x14ac:dyDescent="0.35">
      <c r="A171" s="571" t="s">
        <v>1583</v>
      </c>
      <c r="B171" s="571" t="s">
        <v>1562</v>
      </c>
      <c r="C171" s="572">
        <v>46058.660416666666</v>
      </c>
      <c r="D171" s="572">
        <v>46058.689583333333</v>
      </c>
      <c r="E171" s="571" t="s">
        <v>1648</v>
      </c>
      <c r="F171" s="571" t="s">
        <v>1008</v>
      </c>
    </row>
    <row r="172" spans="1:6" hidden="1" x14ac:dyDescent="0.35">
      <c r="A172" s="571" t="s">
        <v>1583</v>
      </c>
      <c r="B172" s="571" t="s">
        <v>1562</v>
      </c>
      <c r="C172" s="572">
        <v>46060.31527777778</v>
      </c>
      <c r="D172" s="572">
        <v>46060.550694444442</v>
      </c>
      <c r="E172" s="571" t="s">
        <v>1833</v>
      </c>
      <c r="F172" s="571" t="s">
        <v>1008</v>
      </c>
    </row>
    <row r="173" spans="1:6" hidden="1" x14ac:dyDescent="0.35">
      <c r="A173" s="571" t="s">
        <v>1583</v>
      </c>
      <c r="B173" s="571" t="s">
        <v>1562</v>
      </c>
      <c r="C173" s="572">
        <v>46062.322222222225</v>
      </c>
      <c r="D173" s="572">
        <v>46062.37777777778</v>
      </c>
      <c r="E173" s="571" t="s">
        <v>1834</v>
      </c>
      <c r="F173" s="571" t="s">
        <v>1008</v>
      </c>
    </row>
    <row r="174" spans="1:6" hidden="1" x14ac:dyDescent="0.35">
      <c r="A174" s="571" t="s">
        <v>1583</v>
      </c>
      <c r="B174" s="571" t="s">
        <v>1562</v>
      </c>
      <c r="C174" s="572">
        <v>46062.567361111112</v>
      </c>
      <c r="D174" s="572">
        <v>46062.70416666667</v>
      </c>
      <c r="E174" s="571" t="s">
        <v>1835</v>
      </c>
      <c r="F174" s="571" t="s">
        <v>1008</v>
      </c>
    </row>
    <row r="175" spans="1:6" hidden="1" x14ac:dyDescent="0.35">
      <c r="A175" s="571" t="s">
        <v>1583</v>
      </c>
      <c r="B175" s="571" t="s">
        <v>1562</v>
      </c>
      <c r="C175" s="572">
        <v>46063.327777777777</v>
      </c>
      <c r="D175" s="572">
        <v>46063.347916666666</v>
      </c>
      <c r="E175" s="571" t="s">
        <v>1660</v>
      </c>
      <c r="F175" s="571" t="s">
        <v>1008</v>
      </c>
    </row>
    <row r="176" spans="1:6" hidden="1" x14ac:dyDescent="0.35">
      <c r="A176" s="571" t="s">
        <v>1583</v>
      </c>
      <c r="B176" s="571" t="s">
        <v>1562</v>
      </c>
      <c r="C176" s="572">
        <v>46063.466666666667</v>
      </c>
      <c r="D176" s="572">
        <v>46063.636111111111</v>
      </c>
      <c r="E176" s="571" t="s">
        <v>1836</v>
      </c>
      <c r="F176" s="571" t="s">
        <v>1008</v>
      </c>
    </row>
    <row r="177" spans="1:6" hidden="1" x14ac:dyDescent="0.35">
      <c r="A177" s="571" t="s">
        <v>1583</v>
      </c>
      <c r="B177" s="571" t="s">
        <v>1562</v>
      </c>
      <c r="C177" s="572">
        <v>46065.426388888889</v>
      </c>
      <c r="D177" s="572">
        <v>46065.666666666664</v>
      </c>
      <c r="E177" s="571" t="s">
        <v>1781</v>
      </c>
      <c r="F177" s="571" t="s">
        <v>1008</v>
      </c>
    </row>
    <row r="178" spans="1:6" hidden="1" x14ac:dyDescent="0.35">
      <c r="A178" s="571" t="s">
        <v>1583</v>
      </c>
      <c r="B178" s="571" t="s">
        <v>1562</v>
      </c>
      <c r="C178" s="551"/>
      <c r="D178" s="572">
        <v>46066.265277777777</v>
      </c>
      <c r="E178" s="571" t="s">
        <v>1645</v>
      </c>
      <c r="F178" s="571" t="s">
        <v>1008</v>
      </c>
    </row>
    <row r="179" spans="1:6" hidden="1" x14ac:dyDescent="0.35">
      <c r="A179" s="571" t="s">
        <v>1583</v>
      </c>
      <c r="B179" s="571" t="s">
        <v>1562</v>
      </c>
      <c r="C179" s="572">
        <v>46067.338194444441</v>
      </c>
      <c r="D179" s="572">
        <v>46067.375</v>
      </c>
      <c r="E179" s="571" t="s">
        <v>1837</v>
      </c>
      <c r="F179" s="571" t="s">
        <v>1008</v>
      </c>
    </row>
    <row r="180" spans="1:6" hidden="1" x14ac:dyDescent="0.35">
      <c r="A180" s="571" t="s">
        <v>1583</v>
      </c>
      <c r="B180" s="571" t="s">
        <v>1562</v>
      </c>
      <c r="C180" s="572">
        <v>46067.417361111111</v>
      </c>
      <c r="D180" s="572">
        <v>46067.604166666664</v>
      </c>
      <c r="E180" s="571" t="s">
        <v>1838</v>
      </c>
      <c r="F180" s="571" t="s">
        <v>1008</v>
      </c>
    </row>
    <row r="181" spans="1:6" hidden="1" x14ac:dyDescent="0.35">
      <c r="A181" s="571" t="s">
        <v>1583</v>
      </c>
      <c r="B181" s="571" t="s">
        <v>1562</v>
      </c>
      <c r="C181" s="572">
        <v>46067.60833333333</v>
      </c>
      <c r="D181" s="572">
        <v>46067.738888888889</v>
      </c>
      <c r="E181" s="571" t="s">
        <v>1839</v>
      </c>
      <c r="F181" s="571" t="s">
        <v>1008</v>
      </c>
    </row>
    <row r="182" spans="1:6" hidden="1" x14ac:dyDescent="0.35">
      <c r="A182" s="571" t="s">
        <v>1583</v>
      </c>
      <c r="B182" s="571" t="s">
        <v>1562</v>
      </c>
      <c r="C182" s="572">
        <v>46068.343055555553</v>
      </c>
      <c r="D182" s="572">
        <v>46068.590277777781</v>
      </c>
      <c r="E182" s="571" t="s">
        <v>1697</v>
      </c>
      <c r="F182" s="571" t="s">
        <v>1008</v>
      </c>
    </row>
    <row r="183" spans="1:6" hidden="1" x14ac:dyDescent="0.35">
      <c r="A183" s="571" t="s">
        <v>1583</v>
      </c>
      <c r="B183" s="571" t="s">
        <v>1562</v>
      </c>
      <c r="C183" s="572">
        <v>46070.304861111108</v>
      </c>
      <c r="D183" s="572">
        <v>46070.434027777781</v>
      </c>
      <c r="E183" s="571" t="s">
        <v>1813</v>
      </c>
      <c r="F183" s="571" t="s">
        <v>1008</v>
      </c>
    </row>
    <row r="184" spans="1:6" hidden="1" x14ac:dyDescent="0.35">
      <c r="A184" s="571" t="s">
        <v>1583</v>
      </c>
      <c r="B184" s="571" t="s">
        <v>1562</v>
      </c>
      <c r="C184" s="572">
        <v>46070.472222222219</v>
      </c>
      <c r="D184" s="572">
        <v>46070.758333333331</v>
      </c>
      <c r="E184" s="571" t="s">
        <v>1840</v>
      </c>
      <c r="F184" s="571" t="s">
        <v>1008</v>
      </c>
    </row>
    <row r="185" spans="1:6" hidden="1" x14ac:dyDescent="0.35">
      <c r="A185" s="571" t="s">
        <v>1583</v>
      </c>
      <c r="B185" s="571" t="s">
        <v>1562</v>
      </c>
      <c r="C185" s="572">
        <v>46072.330555555556</v>
      </c>
      <c r="D185" s="572">
        <v>46072.392361111109</v>
      </c>
      <c r="E185" s="571" t="s">
        <v>1841</v>
      </c>
      <c r="F185" s="571" t="s">
        <v>1008</v>
      </c>
    </row>
    <row r="186" spans="1:6" hidden="1" x14ac:dyDescent="0.35">
      <c r="A186" s="571" t="s">
        <v>1583</v>
      </c>
      <c r="B186" s="571" t="s">
        <v>1562</v>
      </c>
      <c r="C186" s="572">
        <v>46072.742361111108</v>
      </c>
      <c r="D186" s="572">
        <v>46072.804166666669</v>
      </c>
      <c r="E186" s="571" t="s">
        <v>1841</v>
      </c>
      <c r="F186" s="571" t="s">
        <v>1008</v>
      </c>
    </row>
    <row r="187" spans="1:6" hidden="1" x14ac:dyDescent="0.35">
      <c r="A187" s="571" t="s">
        <v>1583</v>
      </c>
      <c r="B187" s="571" t="s">
        <v>1562</v>
      </c>
      <c r="C187" s="572">
        <v>46073.270138888889</v>
      </c>
      <c r="D187" s="572">
        <v>46073.277777777781</v>
      </c>
      <c r="E187" s="571" t="s">
        <v>1703</v>
      </c>
      <c r="F187" s="571" t="s">
        <v>1008</v>
      </c>
    </row>
    <row r="188" spans="1:6" hidden="1" x14ac:dyDescent="0.35">
      <c r="A188" s="571" t="s">
        <v>1583</v>
      </c>
      <c r="B188" s="571" t="s">
        <v>1562</v>
      </c>
      <c r="C188" s="572">
        <v>46074.395833333336</v>
      </c>
      <c r="D188" s="572">
        <v>46074.84375</v>
      </c>
      <c r="E188" s="571" t="s">
        <v>1651</v>
      </c>
      <c r="F188" s="571" t="s">
        <v>1008</v>
      </c>
    </row>
    <row r="189" spans="1:6" hidden="1" x14ac:dyDescent="0.35">
      <c r="A189" s="571" t="s">
        <v>1583</v>
      </c>
      <c r="B189" s="571" t="s">
        <v>1562</v>
      </c>
      <c r="C189" s="572">
        <v>46076.319444444445</v>
      </c>
      <c r="D189" s="572">
        <v>46076.347916666666</v>
      </c>
      <c r="E189" s="571" t="s">
        <v>1683</v>
      </c>
      <c r="F189" s="571" t="s">
        <v>1008</v>
      </c>
    </row>
    <row r="190" spans="1:6" hidden="1" x14ac:dyDescent="0.35">
      <c r="A190" s="571" t="s">
        <v>1583</v>
      </c>
      <c r="B190" s="571" t="s">
        <v>1562</v>
      </c>
      <c r="C190" s="572">
        <v>46076.497916666667</v>
      </c>
      <c r="D190" s="572">
        <v>46076.737500000003</v>
      </c>
      <c r="E190" s="571" t="s">
        <v>1716</v>
      </c>
      <c r="F190" s="571" t="s">
        <v>1008</v>
      </c>
    </row>
    <row r="191" spans="1:6" hidden="1" x14ac:dyDescent="0.35">
      <c r="A191" s="571" t="s">
        <v>1583</v>
      </c>
      <c r="B191" s="571" t="s">
        <v>1562</v>
      </c>
      <c r="C191" s="572">
        <v>46077.328472222223</v>
      </c>
      <c r="D191" s="572">
        <v>46077.636805555558</v>
      </c>
      <c r="E191" s="571" t="s">
        <v>1842</v>
      </c>
      <c r="F191" s="571" t="s">
        <v>1008</v>
      </c>
    </row>
    <row r="192" spans="1:6" hidden="1" x14ac:dyDescent="0.35">
      <c r="A192" s="571" t="s">
        <v>1583</v>
      </c>
      <c r="B192" s="571" t="s">
        <v>1562</v>
      </c>
      <c r="C192" s="572">
        <v>46077.647222222222</v>
      </c>
      <c r="D192" s="572">
        <v>46077.69027777778</v>
      </c>
      <c r="E192" s="571" t="s">
        <v>1843</v>
      </c>
      <c r="F192" s="571" t="s">
        <v>1008</v>
      </c>
    </row>
    <row r="193" spans="1:6" hidden="1" x14ac:dyDescent="0.35">
      <c r="A193" s="571" t="s">
        <v>1583</v>
      </c>
      <c r="B193" s="571" t="s">
        <v>1562</v>
      </c>
      <c r="C193" s="572">
        <v>46079.334722222222</v>
      </c>
      <c r="D193" s="572">
        <v>46079.386111111111</v>
      </c>
      <c r="E193" s="571" t="s">
        <v>1657</v>
      </c>
      <c r="F193" s="571" t="s">
        <v>1008</v>
      </c>
    </row>
    <row r="194" spans="1:6" hidden="1" x14ac:dyDescent="0.35">
      <c r="A194" s="571" t="s">
        <v>1583</v>
      </c>
      <c r="B194" s="571" t="s">
        <v>1562</v>
      </c>
      <c r="C194" s="572">
        <v>46079.447222222225</v>
      </c>
      <c r="D194" s="572">
        <v>46079.463888888888</v>
      </c>
      <c r="E194" s="571" t="s">
        <v>1646</v>
      </c>
      <c r="F194" s="571" t="s">
        <v>1008</v>
      </c>
    </row>
    <row r="195" spans="1:6" hidden="1" x14ac:dyDescent="0.35">
      <c r="A195" s="571" t="s">
        <v>1583</v>
      </c>
      <c r="B195" s="571" t="s">
        <v>1562</v>
      </c>
      <c r="C195" s="572">
        <v>46079.504861111112</v>
      </c>
      <c r="D195" s="572">
        <v>46079.708333333336</v>
      </c>
      <c r="E195" s="571" t="s">
        <v>1844</v>
      </c>
      <c r="F195" s="571" t="s">
        <v>1008</v>
      </c>
    </row>
    <row r="196" spans="1:6" hidden="1" x14ac:dyDescent="0.35">
      <c r="A196" s="571" t="s">
        <v>1583</v>
      </c>
      <c r="B196" s="571" t="s">
        <v>1562</v>
      </c>
      <c r="C196" s="572">
        <v>46080.37222222222</v>
      </c>
      <c r="D196" s="572">
        <v>46080.584027777775</v>
      </c>
      <c r="E196" s="571" t="s">
        <v>1845</v>
      </c>
      <c r="F196" s="571" t="s">
        <v>1008</v>
      </c>
    </row>
    <row r="197" spans="1:6" hidden="1" x14ac:dyDescent="0.35">
      <c r="A197" s="571" t="s">
        <v>1588</v>
      </c>
      <c r="B197" s="571" t="s">
        <v>1589</v>
      </c>
      <c r="C197" s="551"/>
      <c r="D197" s="572">
        <v>46055.307638888888</v>
      </c>
      <c r="E197" s="571" t="s">
        <v>1645</v>
      </c>
      <c r="F197" s="571" t="s">
        <v>1008</v>
      </c>
    </row>
    <row r="198" spans="1:6" hidden="1" x14ac:dyDescent="0.35">
      <c r="A198" s="571" t="s">
        <v>1588</v>
      </c>
      <c r="B198" s="571" t="s">
        <v>1589</v>
      </c>
      <c r="C198" s="572">
        <v>46056.311111111114</v>
      </c>
      <c r="D198" s="572">
        <v>46056.387499999997</v>
      </c>
      <c r="E198" s="571" t="s">
        <v>1655</v>
      </c>
      <c r="F198" s="571" t="s">
        <v>1008</v>
      </c>
    </row>
    <row r="199" spans="1:6" hidden="1" x14ac:dyDescent="0.35">
      <c r="A199" s="571" t="s">
        <v>1588</v>
      </c>
      <c r="B199" s="571" t="s">
        <v>1589</v>
      </c>
      <c r="C199" s="572">
        <v>46056.423611111109</v>
      </c>
      <c r="D199" s="572">
        <v>46056.697916666664</v>
      </c>
      <c r="E199" s="571" t="s">
        <v>1846</v>
      </c>
      <c r="F199" s="571" t="s">
        <v>1008</v>
      </c>
    </row>
    <row r="200" spans="1:6" hidden="1" x14ac:dyDescent="0.35">
      <c r="A200" s="571" t="s">
        <v>1588</v>
      </c>
      <c r="B200" s="571" t="s">
        <v>1589</v>
      </c>
      <c r="C200" s="572">
        <v>46057.311805555553</v>
      </c>
      <c r="D200" s="572">
        <v>46057.426388888889</v>
      </c>
      <c r="E200" s="571" t="s">
        <v>1847</v>
      </c>
      <c r="F200" s="571" t="s">
        <v>1008</v>
      </c>
    </row>
    <row r="201" spans="1:6" hidden="1" x14ac:dyDescent="0.35">
      <c r="A201" s="571" t="s">
        <v>1588</v>
      </c>
      <c r="B201" s="571" t="s">
        <v>1589</v>
      </c>
      <c r="C201" s="572">
        <v>46057.511805555558</v>
      </c>
      <c r="D201" s="572">
        <v>46057.68472222222</v>
      </c>
      <c r="E201" s="571" t="s">
        <v>1815</v>
      </c>
      <c r="F201" s="571" t="s">
        <v>1008</v>
      </c>
    </row>
    <row r="202" spans="1:6" hidden="1" x14ac:dyDescent="0.35">
      <c r="A202" s="571" t="s">
        <v>1588</v>
      </c>
      <c r="B202" s="571" t="s">
        <v>1589</v>
      </c>
      <c r="C202" s="572">
        <v>46058.310416666667</v>
      </c>
      <c r="D202" s="572">
        <v>46058.450694444444</v>
      </c>
      <c r="E202" s="571" t="s">
        <v>1773</v>
      </c>
      <c r="F202" s="571" t="s">
        <v>1008</v>
      </c>
    </row>
    <row r="203" spans="1:6" hidden="1" x14ac:dyDescent="0.35">
      <c r="A203" s="571" t="s">
        <v>1588</v>
      </c>
      <c r="B203" s="571" t="s">
        <v>1589</v>
      </c>
      <c r="C203" s="551"/>
      <c r="D203" s="572">
        <v>46058.68472222222</v>
      </c>
      <c r="E203" s="571" t="s">
        <v>1645</v>
      </c>
      <c r="F203" s="571" t="s">
        <v>1008</v>
      </c>
    </row>
    <row r="204" spans="1:6" hidden="1" x14ac:dyDescent="0.35">
      <c r="A204" s="571" t="s">
        <v>1588</v>
      </c>
      <c r="B204" s="571" t="s">
        <v>1589</v>
      </c>
      <c r="C204" s="572">
        <v>46059.248611111114</v>
      </c>
      <c r="D204" s="572">
        <v>46059.303472222222</v>
      </c>
      <c r="E204" s="571" t="s">
        <v>1675</v>
      </c>
      <c r="F204" s="571" t="s">
        <v>1008</v>
      </c>
    </row>
    <row r="205" spans="1:6" hidden="1" x14ac:dyDescent="0.35">
      <c r="A205" s="571" t="s">
        <v>1588</v>
      </c>
      <c r="B205" s="571" t="s">
        <v>1589</v>
      </c>
      <c r="C205" s="572">
        <v>46059.311805555553</v>
      </c>
      <c r="D205" s="572">
        <v>46059.581250000003</v>
      </c>
      <c r="E205" s="571" t="s">
        <v>1848</v>
      </c>
      <c r="F205" s="571" t="s">
        <v>1008</v>
      </c>
    </row>
    <row r="206" spans="1:6" hidden="1" x14ac:dyDescent="0.35">
      <c r="A206" s="571" t="s">
        <v>1588</v>
      </c>
      <c r="B206" s="571" t="s">
        <v>1589</v>
      </c>
      <c r="C206" s="572">
        <v>46062.308333333334</v>
      </c>
      <c r="D206" s="572">
        <v>46062.689583333333</v>
      </c>
      <c r="E206" s="571" t="s">
        <v>1651</v>
      </c>
      <c r="F206" s="571" t="s">
        <v>1008</v>
      </c>
    </row>
    <row r="207" spans="1:6" hidden="1" x14ac:dyDescent="0.35">
      <c r="A207" s="571" t="s">
        <v>1588</v>
      </c>
      <c r="B207" s="571" t="s">
        <v>1589</v>
      </c>
      <c r="C207" s="572">
        <v>46063.3125</v>
      </c>
      <c r="D207" s="572">
        <v>46063.352083333331</v>
      </c>
      <c r="E207" s="571" t="s">
        <v>1706</v>
      </c>
      <c r="F207" s="571" t="s">
        <v>1008</v>
      </c>
    </row>
    <row r="208" spans="1:6" hidden="1" x14ac:dyDescent="0.35">
      <c r="A208" s="571" t="s">
        <v>1588</v>
      </c>
      <c r="B208" s="571" t="s">
        <v>1589</v>
      </c>
      <c r="C208" s="572">
        <v>46064.3125</v>
      </c>
      <c r="D208" s="572">
        <v>46064.34097222222</v>
      </c>
      <c r="E208" s="571" t="s">
        <v>1683</v>
      </c>
      <c r="F208" s="571" t="s">
        <v>1008</v>
      </c>
    </row>
    <row r="209" spans="1:6" hidden="1" x14ac:dyDescent="0.35">
      <c r="A209" s="571" t="s">
        <v>1588</v>
      </c>
      <c r="B209" s="571" t="s">
        <v>1589</v>
      </c>
      <c r="C209" s="551"/>
      <c r="D209" s="572">
        <v>46064.779861111114</v>
      </c>
      <c r="E209" s="571" t="s">
        <v>1645</v>
      </c>
      <c r="F209" s="571" t="s">
        <v>1008</v>
      </c>
    </row>
    <row r="210" spans="1:6" hidden="1" x14ac:dyDescent="0.35">
      <c r="A210" s="571" t="s">
        <v>1588</v>
      </c>
      <c r="B210" s="571" t="s">
        <v>1589</v>
      </c>
      <c r="C210" s="572">
        <v>46065.30972222222</v>
      </c>
      <c r="D210" s="572">
        <v>46065.375</v>
      </c>
      <c r="E210" s="571" t="s">
        <v>1693</v>
      </c>
      <c r="F210" s="571" t="s">
        <v>1008</v>
      </c>
    </row>
    <row r="211" spans="1:6" hidden="1" x14ac:dyDescent="0.35">
      <c r="A211" s="571" t="s">
        <v>1588</v>
      </c>
      <c r="B211" s="571" t="s">
        <v>1589</v>
      </c>
      <c r="C211" s="572">
        <v>46065.679861111108</v>
      </c>
      <c r="D211" s="572">
        <v>46065.680555555555</v>
      </c>
      <c r="E211" s="571" t="s">
        <v>1653</v>
      </c>
      <c r="F211" s="571" t="s">
        <v>1008</v>
      </c>
    </row>
    <row r="212" spans="1:6" hidden="1" x14ac:dyDescent="0.35">
      <c r="A212" s="571" t="s">
        <v>1588</v>
      </c>
      <c r="B212" s="571" t="s">
        <v>1589</v>
      </c>
      <c r="C212" s="572">
        <v>46066.249305555553</v>
      </c>
      <c r="D212" s="572">
        <v>46066.277777777781</v>
      </c>
      <c r="E212" s="571" t="s">
        <v>1683</v>
      </c>
      <c r="F212" s="571" t="s">
        <v>1008</v>
      </c>
    </row>
    <row r="213" spans="1:6" hidden="1" x14ac:dyDescent="0.35">
      <c r="A213" s="571" t="s">
        <v>1588</v>
      </c>
      <c r="B213" s="571" t="s">
        <v>1589</v>
      </c>
      <c r="C213" s="551"/>
      <c r="D213" s="572">
        <v>46066.667361111111</v>
      </c>
      <c r="E213" s="571" t="s">
        <v>1645</v>
      </c>
      <c r="F213" s="571" t="s">
        <v>1008</v>
      </c>
    </row>
    <row r="214" spans="1:6" hidden="1" x14ac:dyDescent="0.35">
      <c r="A214" s="571" t="s">
        <v>1588</v>
      </c>
      <c r="B214" s="571" t="s">
        <v>1589</v>
      </c>
      <c r="C214" s="572">
        <v>46067.288888888892</v>
      </c>
      <c r="D214" s="572">
        <v>46067.742361111108</v>
      </c>
      <c r="E214" s="571" t="s">
        <v>1651</v>
      </c>
      <c r="F214" s="571" t="s">
        <v>1008</v>
      </c>
    </row>
    <row r="215" spans="1:6" hidden="1" x14ac:dyDescent="0.35">
      <c r="A215" s="571" t="s">
        <v>1588</v>
      </c>
      <c r="B215" s="571" t="s">
        <v>1589</v>
      </c>
      <c r="C215" s="572">
        <v>46070.290972222225</v>
      </c>
      <c r="D215" s="572">
        <v>46070.747916666667</v>
      </c>
      <c r="E215" s="571" t="s">
        <v>1651</v>
      </c>
      <c r="F215" s="571" t="s">
        <v>1008</v>
      </c>
    </row>
    <row r="216" spans="1:6" hidden="1" x14ac:dyDescent="0.35">
      <c r="A216" s="571" t="s">
        <v>1588</v>
      </c>
      <c r="B216" s="571" t="s">
        <v>1589</v>
      </c>
      <c r="C216" s="572">
        <v>46071.309027777781</v>
      </c>
      <c r="D216" s="572">
        <v>46071.688194444447</v>
      </c>
      <c r="E216" s="571" t="s">
        <v>1651</v>
      </c>
      <c r="F216" s="571" t="s">
        <v>1008</v>
      </c>
    </row>
    <row r="217" spans="1:6" hidden="1" x14ac:dyDescent="0.35">
      <c r="A217" s="571" t="s">
        <v>1584</v>
      </c>
      <c r="B217" s="571" t="s">
        <v>1563</v>
      </c>
      <c r="C217" s="572">
        <v>46056.311111111114</v>
      </c>
      <c r="D217" s="572">
        <v>46056.397222222222</v>
      </c>
      <c r="E217" s="571" t="s">
        <v>1849</v>
      </c>
      <c r="F217" s="571" t="s">
        <v>1008</v>
      </c>
    </row>
    <row r="218" spans="1:6" hidden="1" x14ac:dyDescent="0.35">
      <c r="A218" s="571" t="s">
        <v>1584</v>
      </c>
      <c r="B218" s="571" t="s">
        <v>1563</v>
      </c>
      <c r="C218" s="572">
        <v>46056.479861111111</v>
      </c>
      <c r="D218" s="572">
        <v>46056.697916666664</v>
      </c>
      <c r="E218" s="571" t="s">
        <v>1705</v>
      </c>
      <c r="F218" s="571" t="s">
        <v>1008</v>
      </c>
    </row>
    <row r="219" spans="1:6" hidden="1" x14ac:dyDescent="0.35">
      <c r="A219" s="571" t="s">
        <v>1584</v>
      </c>
      <c r="B219" s="571" t="s">
        <v>1563</v>
      </c>
      <c r="C219" s="572">
        <v>46058.311805555553</v>
      </c>
      <c r="D219" s="572">
        <v>46058.370833333334</v>
      </c>
      <c r="E219" s="571" t="s">
        <v>1649</v>
      </c>
      <c r="F219" s="571" t="s">
        <v>1008</v>
      </c>
    </row>
    <row r="220" spans="1:6" hidden="1" x14ac:dyDescent="0.35">
      <c r="A220" s="571" t="s">
        <v>1584</v>
      </c>
      <c r="B220" s="571" t="s">
        <v>1563</v>
      </c>
      <c r="C220" s="572">
        <v>46065.311805555553</v>
      </c>
      <c r="D220" s="572">
        <v>46065.376388888886</v>
      </c>
      <c r="E220" s="571" t="s">
        <v>1663</v>
      </c>
      <c r="F220" s="571" t="s">
        <v>1008</v>
      </c>
    </row>
    <row r="221" spans="1:6" hidden="1" x14ac:dyDescent="0.35">
      <c r="A221" s="571" t="s">
        <v>1584</v>
      </c>
      <c r="B221" s="571" t="s">
        <v>1563</v>
      </c>
      <c r="C221" s="572">
        <v>46065.629861111112</v>
      </c>
      <c r="D221" s="572">
        <v>46065.674305555556</v>
      </c>
      <c r="E221" s="571" t="s">
        <v>1807</v>
      </c>
      <c r="F221" s="571" t="s">
        <v>1008</v>
      </c>
    </row>
    <row r="222" spans="1:6" hidden="1" x14ac:dyDescent="0.35">
      <c r="A222" s="571" t="s">
        <v>1584</v>
      </c>
      <c r="B222" s="571" t="s">
        <v>1563</v>
      </c>
      <c r="C222" s="572">
        <v>46067.306250000001</v>
      </c>
      <c r="D222" s="572">
        <v>46067.740972222222</v>
      </c>
      <c r="E222" s="571" t="s">
        <v>1651</v>
      </c>
      <c r="F222" s="571" t="s">
        <v>1008</v>
      </c>
    </row>
    <row r="223" spans="1:6" hidden="1" x14ac:dyDescent="0.35">
      <c r="A223" s="571" t="s">
        <v>1584</v>
      </c>
      <c r="B223" s="571" t="s">
        <v>1563</v>
      </c>
      <c r="C223" s="572">
        <v>46070.301388888889</v>
      </c>
      <c r="D223" s="572">
        <v>46070.743750000001</v>
      </c>
      <c r="E223" s="571" t="s">
        <v>1651</v>
      </c>
      <c r="F223" s="571" t="s">
        <v>1008</v>
      </c>
    </row>
    <row r="224" spans="1:6" hidden="1" x14ac:dyDescent="0.35">
      <c r="A224" s="571" t="s">
        <v>1584</v>
      </c>
      <c r="B224" s="571" t="s">
        <v>1563</v>
      </c>
      <c r="C224" s="572">
        <v>46072.307638888888</v>
      </c>
      <c r="D224" s="572">
        <v>46072.370833333334</v>
      </c>
      <c r="E224" s="571" t="s">
        <v>1698</v>
      </c>
      <c r="F224" s="571" t="s">
        <v>1008</v>
      </c>
    </row>
    <row r="225" spans="1:6" hidden="1" x14ac:dyDescent="0.35">
      <c r="A225" s="571" t="s">
        <v>1584</v>
      </c>
      <c r="B225" s="571" t="s">
        <v>1563</v>
      </c>
      <c r="C225" s="572">
        <v>46073.246527777781</v>
      </c>
      <c r="D225" s="572">
        <v>46073.293055555558</v>
      </c>
      <c r="E225" s="571" t="s">
        <v>1850</v>
      </c>
      <c r="F225" s="571" t="s">
        <v>1008</v>
      </c>
    </row>
    <row r="226" spans="1:6" hidden="1" x14ac:dyDescent="0.35">
      <c r="A226" s="571" t="s">
        <v>1584</v>
      </c>
      <c r="B226" s="571" t="s">
        <v>1563</v>
      </c>
      <c r="C226" s="572">
        <v>46074.308333333334</v>
      </c>
      <c r="D226" s="572">
        <v>46074.709027777775</v>
      </c>
      <c r="E226" s="571" t="s">
        <v>1651</v>
      </c>
      <c r="F226" s="571" t="s">
        <v>1008</v>
      </c>
    </row>
    <row r="227" spans="1:6" hidden="1" x14ac:dyDescent="0.35">
      <c r="A227" s="571" t="s">
        <v>1584</v>
      </c>
      <c r="B227" s="571" t="s">
        <v>1563</v>
      </c>
      <c r="C227" s="572">
        <v>46077.325694444444</v>
      </c>
      <c r="D227" s="572">
        <v>46077.637499999997</v>
      </c>
      <c r="E227" s="571" t="s">
        <v>1821</v>
      </c>
      <c r="F227" s="571" t="s">
        <v>1008</v>
      </c>
    </row>
    <row r="228" spans="1:6" hidden="1" x14ac:dyDescent="0.35">
      <c r="A228" s="571" t="s">
        <v>1584</v>
      </c>
      <c r="B228" s="571" t="s">
        <v>1563</v>
      </c>
      <c r="C228" s="572">
        <v>46079.308333333334</v>
      </c>
      <c r="D228" s="572">
        <v>46079.690972222219</v>
      </c>
      <c r="E228" s="571" t="s">
        <v>1651</v>
      </c>
      <c r="F228" s="571" t="s">
        <v>1008</v>
      </c>
    </row>
    <row r="229" spans="1:6" hidden="1" x14ac:dyDescent="0.35">
      <c r="A229" s="571" t="s">
        <v>1585</v>
      </c>
      <c r="B229" s="571" t="s">
        <v>1564</v>
      </c>
      <c r="C229" s="551"/>
      <c r="D229" s="572">
        <v>46055.31527777778</v>
      </c>
      <c r="E229" s="571" t="s">
        <v>1645</v>
      </c>
      <c r="F229" s="571" t="s">
        <v>1008</v>
      </c>
    </row>
    <row r="230" spans="1:6" hidden="1" x14ac:dyDescent="0.35">
      <c r="A230" s="571" t="s">
        <v>1585</v>
      </c>
      <c r="B230" s="571" t="s">
        <v>1564</v>
      </c>
      <c r="C230" s="572">
        <v>46055.365277777775</v>
      </c>
      <c r="D230" s="572">
        <v>46055.390972222223</v>
      </c>
      <c r="E230" s="571" t="s">
        <v>1851</v>
      </c>
      <c r="F230" s="571" t="s">
        <v>1008</v>
      </c>
    </row>
    <row r="231" spans="1:6" hidden="1" x14ac:dyDescent="0.35">
      <c r="A231" s="571" t="s">
        <v>1585</v>
      </c>
      <c r="B231" s="571" t="s">
        <v>1564</v>
      </c>
      <c r="C231" s="572">
        <v>46056.318749999999</v>
      </c>
      <c r="D231" s="572">
        <v>46056.397916666669</v>
      </c>
      <c r="E231" s="571" t="s">
        <v>1739</v>
      </c>
      <c r="F231" s="571" t="s">
        <v>1008</v>
      </c>
    </row>
    <row r="232" spans="1:6" hidden="1" x14ac:dyDescent="0.35">
      <c r="A232" s="571" t="s">
        <v>1585</v>
      </c>
      <c r="B232" s="571" t="s">
        <v>1564</v>
      </c>
      <c r="C232" s="572">
        <v>46056.523611111108</v>
      </c>
      <c r="D232" s="572">
        <v>46056.579861111109</v>
      </c>
      <c r="E232" s="571" t="s">
        <v>1761</v>
      </c>
      <c r="F232" s="571" t="s">
        <v>1008</v>
      </c>
    </row>
    <row r="233" spans="1:6" hidden="1" x14ac:dyDescent="0.35">
      <c r="A233" s="571" t="s">
        <v>1585</v>
      </c>
      <c r="B233" s="571" t="s">
        <v>1564</v>
      </c>
      <c r="C233" s="572">
        <v>46056.668749999997</v>
      </c>
      <c r="D233" s="572">
        <v>46056.7</v>
      </c>
      <c r="E233" s="571" t="s">
        <v>1644</v>
      </c>
      <c r="F233" s="571" t="s">
        <v>1008</v>
      </c>
    </row>
    <row r="234" spans="1:6" hidden="1" x14ac:dyDescent="0.35">
      <c r="A234" s="571" t="s">
        <v>1585</v>
      </c>
      <c r="B234" s="571" t="s">
        <v>1564</v>
      </c>
      <c r="C234" s="572">
        <v>46057.314583333333</v>
      </c>
      <c r="D234" s="572">
        <v>46057.36041666667</v>
      </c>
      <c r="E234" s="571" t="s">
        <v>1759</v>
      </c>
      <c r="F234" s="571" t="s">
        <v>1008</v>
      </c>
    </row>
    <row r="235" spans="1:6" hidden="1" x14ac:dyDescent="0.35">
      <c r="A235" s="571" t="s">
        <v>1585</v>
      </c>
      <c r="B235" s="571" t="s">
        <v>1564</v>
      </c>
      <c r="C235" s="572">
        <v>46057.379166666666</v>
      </c>
      <c r="D235" s="572">
        <v>46057.675694444442</v>
      </c>
      <c r="E235" s="571" t="s">
        <v>1852</v>
      </c>
      <c r="F235" s="571" t="s">
        <v>1008</v>
      </c>
    </row>
    <row r="236" spans="1:6" hidden="1" x14ac:dyDescent="0.35">
      <c r="A236" s="571" t="s">
        <v>1585</v>
      </c>
      <c r="B236" s="571" t="s">
        <v>1564</v>
      </c>
      <c r="C236" s="572">
        <v>46058.313888888886</v>
      </c>
      <c r="D236" s="572">
        <v>46058.361111111109</v>
      </c>
      <c r="E236" s="571" t="s">
        <v>1820</v>
      </c>
      <c r="F236" s="571" t="s">
        <v>1008</v>
      </c>
    </row>
    <row r="237" spans="1:6" hidden="1" x14ac:dyDescent="0.35">
      <c r="A237" s="571" t="s">
        <v>1585</v>
      </c>
      <c r="B237" s="571" t="s">
        <v>1564</v>
      </c>
      <c r="C237" s="572">
        <v>46058.366666666669</v>
      </c>
      <c r="D237" s="572">
        <v>46058.381249999999</v>
      </c>
      <c r="E237" s="571" t="s">
        <v>1662</v>
      </c>
      <c r="F237" s="571" t="s">
        <v>1008</v>
      </c>
    </row>
    <row r="238" spans="1:6" hidden="1" x14ac:dyDescent="0.35">
      <c r="A238" s="571" t="s">
        <v>1585</v>
      </c>
      <c r="B238" s="571" t="s">
        <v>1564</v>
      </c>
      <c r="C238" s="572">
        <v>46058.672222222223</v>
      </c>
      <c r="D238" s="572">
        <v>46058.689583333333</v>
      </c>
      <c r="E238" s="571" t="s">
        <v>1853</v>
      </c>
      <c r="F238" s="571" t="s">
        <v>1008</v>
      </c>
    </row>
    <row r="239" spans="1:6" hidden="1" x14ac:dyDescent="0.35">
      <c r="A239" s="571" t="s">
        <v>1585</v>
      </c>
      <c r="B239" s="571" t="s">
        <v>1564</v>
      </c>
      <c r="C239" s="572">
        <v>46059.248611111114</v>
      </c>
      <c r="D239" s="572">
        <v>46059.303472222222</v>
      </c>
      <c r="E239" s="571" t="s">
        <v>1675</v>
      </c>
      <c r="F239" s="571" t="s">
        <v>1008</v>
      </c>
    </row>
    <row r="240" spans="1:6" hidden="1" x14ac:dyDescent="0.35">
      <c r="A240" s="571" t="s">
        <v>1585</v>
      </c>
      <c r="B240" s="571" t="s">
        <v>1564</v>
      </c>
      <c r="C240" s="551"/>
      <c r="D240" s="572">
        <v>46059.446527777778</v>
      </c>
      <c r="E240" s="571" t="s">
        <v>1645</v>
      </c>
      <c r="F240" s="571" t="s">
        <v>1008</v>
      </c>
    </row>
    <row r="241" spans="1:6" hidden="1" x14ac:dyDescent="0.35">
      <c r="A241" s="571" t="s">
        <v>1585</v>
      </c>
      <c r="B241" s="571" t="s">
        <v>1564</v>
      </c>
      <c r="C241" s="572">
        <v>46059.508333333331</v>
      </c>
      <c r="D241" s="572">
        <v>46059.584027777775</v>
      </c>
      <c r="E241" s="571" t="s">
        <v>1854</v>
      </c>
      <c r="F241" s="571" t="s">
        <v>1008</v>
      </c>
    </row>
    <row r="242" spans="1:6" hidden="1" x14ac:dyDescent="0.35">
      <c r="A242" s="571" t="s">
        <v>1585</v>
      </c>
      <c r="B242" s="571" t="s">
        <v>1564</v>
      </c>
      <c r="C242" s="551"/>
      <c r="D242" s="551"/>
      <c r="E242" s="571" t="s">
        <v>1645</v>
      </c>
      <c r="F242" s="571" t="s">
        <v>1008</v>
      </c>
    </row>
    <row r="243" spans="1:6" hidden="1" x14ac:dyDescent="0.35">
      <c r="A243" s="571" t="s">
        <v>1585</v>
      </c>
      <c r="B243" s="571" t="s">
        <v>1564</v>
      </c>
      <c r="C243" s="572">
        <v>46060.400694444441</v>
      </c>
      <c r="D243" s="572">
        <v>46060.555555555555</v>
      </c>
      <c r="E243" s="571" t="s">
        <v>1855</v>
      </c>
      <c r="F243" s="571" t="s">
        <v>1008</v>
      </c>
    </row>
    <row r="244" spans="1:6" hidden="1" x14ac:dyDescent="0.35">
      <c r="A244" s="571" t="s">
        <v>1585</v>
      </c>
      <c r="B244" s="571" t="s">
        <v>1564</v>
      </c>
      <c r="C244" s="572">
        <v>46062.31527777778</v>
      </c>
      <c r="D244" s="572">
        <v>46062.369444444441</v>
      </c>
      <c r="E244" s="571" t="s">
        <v>1690</v>
      </c>
      <c r="F244" s="571" t="s">
        <v>1008</v>
      </c>
    </row>
    <row r="245" spans="1:6" hidden="1" x14ac:dyDescent="0.35">
      <c r="A245" s="571" t="s">
        <v>1585</v>
      </c>
      <c r="B245" s="571" t="s">
        <v>1564</v>
      </c>
      <c r="C245" s="572">
        <v>46062.567361111112</v>
      </c>
      <c r="D245" s="572">
        <v>46062.710416666669</v>
      </c>
      <c r="E245" s="571" t="s">
        <v>1714</v>
      </c>
      <c r="F245" s="571" t="s">
        <v>1008</v>
      </c>
    </row>
    <row r="246" spans="1:6" hidden="1" x14ac:dyDescent="0.35">
      <c r="A246" s="571" t="s">
        <v>1585</v>
      </c>
      <c r="B246" s="571" t="s">
        <v>1564</v>
      </c>
      <c r="C246" s="551"/>
      <c r="D246" s="551"/>
      <c r="E246" s="571" t="s">
        <v>1645</v>
      </c>
      <c r="F246" s="571" t="s">
        <v>1008</v>
      </c>
    </row>
    <row r="247" spans="1:6" hidden="1" x14ac:dyDescent="0.35">
      <c r="A247" s="571" t="s">
        <v>1585</v>
      </c>
      <c r="B247" s="571" t="s">
        <v>1564</v>
      </c>
      <c r="C247" s="572">
        <v>46063.466666666667</v>
      </c>
      <c r="D247" s="572">
        <v>46063.640277777777</v>
      </c>
      <c r="E247" s="571" t="s">
        <v>1713</v>
      </c>
      <c r="F247" s="571" t="s">
        <v>1008</v>
      </c>
    </row>
    <row r="248" spans="1:6" hidden="1" x14ac:dyDescent="0.35">
      <c r="A248" s="571" t="s">
        <v>1585</v>
      </c>
      <c r="B248" s="571" t="s">
        <v>1564</v>
      </c>
      <c r="C248" s="572">
        <v>46063.907638888886</v>
      </c>
      <c r="D248" s="572">
        <v>46063.913194444445</v>
      </c>
      <c r="E248" s="571" t="s">
        <v>1701</v>
      </c>
      <c r="F248" s="571" t="s">
        <v>1008</v>
      </c>
    </row>
    <row r="249" spans="1:6" hidden="1" x14ac:dyDescent="0.35">
      <c r="A249" s="571" t="s">
        <v>1585</v>
      </c>
      <c r="B249" s="571" t="s">
        <v>1564</v>
      </c>
      <c r="C249" s="551"/>
      <c r="D249" s="572">
        <v>46064.238888888889</v>
      </c>
      <c r="E249" s="571" t="s">
        <v>1645</v>
      </c>
      <c r="F249" s="571" t="s">
        <v>1008</v>
      </c>
    </row>
    <row r="250" spans="1:6" hidden="1" x14ac:dyDescent="0.35">
      <c r="A250" s="571" t="s">
        <v>1585</v>
      </c>
      <c r="B250" s="571" t="s">
        <v>1564</v>
      </c>
      <c r="C250" s="572">
        <v>46064.318055555559</v>
      </c>
      <c r="D250" s="572">
        <v>46064.359722222223</v>
      </c>
      <c r="E250" s="571" t="s">
        <v>1668</v>
      </c>
      <c r="F250" s="571" t="s">
        <v>1008</v>
      </c>
    </row>
    <row r="251" spans="1:6" hidden="1" x14ac:dyDescent="0.35">
      <c r="A251" s="571" t="s">
        <v>1585</v>
      </c>
      <c r="B251" s="571" t="s">
        <v>1564</v>
      </c>
      <c r="C251" s="551"/>
      <c r="D251" s="572">
        <v>46064.779861111114</v>
      </c>
      <c r="E251" s="571" t="s">
        <v>1645</v>
      </c>
      <c r="F251" s="571" t="s">
        <v>1008</v>
      </c>
    </row>
    <row r="252" spans="1:6" hidden="1" x14ac:dyDescent="0.35">
      <c r="A252" s="571" t="s">
        <v>1585</v>
      </c>
      <c r="B252" s="571" t="s">
        <v>1564</v>
      </c>
      <c r="C252" s="572">
        <v>46065.314583333333</v>
      </c>
      <c r="D252" s="572">
        <v>46065.375</v>
      </c>
      <c r="E252" s="571" t="s">
        <v>1672</v>
      </c>
      <c r="F252" s="571" t="s">
        <v>1008</v>
      </c>
    </row>
    <row r="253" spans="1:6" hidden="1" x14ac:dyDescent="0.35">
      <c r="A253" s="571" t="s">
        <v>1585</v>
      </c>
      <c r="B253" s="571" t="s">
        <v>1564</v>
      </c>
      <c r="C253" s="551"/>
      <c r="D253" s="572">
        <v>46065.680555555555</v>
      </c>
      <c r="E253" s="571" t="s">
        <v>1645</v>
      </c>
      <c r="F253" s="571" t="s">
        <v>1008</v>
      </c>
    </row>
    <row r="254" spans="1:6" hidden="1" x14ac:dyDescent="0.35">
      <c r="A254" s="571" t="s">
        <v>1585</v>
      </c>
      <c r="B254" s="571" t="s">
        <v>1564</v>
      </c>
      <c r="C254" s="572">
        <v>46066.248611111114</v>
      </c>
      <c r="D254" s="572">
        <v>46066.277083333334</v>
      </c>
      <c r="E254" s="571" t="s">
        <v>1683</v>
      </c>
      <c r="F254" s="571" t="s">
        <v>1008</v>
      </c>
    </row>
    <row r="255" spans="1:6" hidden="1" x14ac:dyDescent="0.35">
      <c r="A255" s="571" t="s">
        <v>1585</v>
      </c>
      <c r="B255" s="571" t="s">
        <v>1564</v>
      </c>
      <c r="C255" s="572">
        <v>46066.668749999997</v>
      </c>
      <c r="D255" s="572">
        <v>46066.67083333333</v>
      </c>
      <c r="E255" s="571" t="s">
        <v>1650</v>
      </c>
      <c r="F255" s="571" t="s">
        <v>1008</v>
      </c>
    </row>
    <row r="256" spans="1:6" hidden="1" x14ac:dyDescent="0.35">
      <c r="A256" s="571" t="s">
        <v>1585</v>
      </c>
      <c r="B256" s="571" t="s">
        <v>1564</v>
      </c>
      <c r="C256" s="572">
        <v>46067.30972222222</v>
      </c>
      <c r="D256" s="572">
        <v>46067.375</v>
      </c>
      <c r="E256" s="571" t="s">
        <v>1693</v>
      </c>
      <c r="F256" s="571" t="s">
        <v>1008</v>
      </c>
    </row>
    <row r="257" spans="1:6" hidden="1" x14ac:dyDescent="0.35">
      <c r="A257" s="571" t="s">
        <v>1585</v>
      </c>
      <c r="B257" s="571" t="s">
        <v>1564</v>
      </c>
      <c r="C257" s="572">
        <v>46067.417361111111</v>
      </c>
      <c r="D257" s="572">
        <v>46067.738888888889</v>
      </c>
      <c r="E257" s="571" t="s">
        <v>1800</v>
      </c>
      <c r="F257" s="571" t="s">
        <v>1008</v>
      </c>
    </row>
    <row r="258" spans="1:6" hidden="1" x14ac:dyDescent="0.35">
      <c r="A258" s="571" t="s">
        <v>1585</v>
      </c>
      <c r="B258" s="571" t="s">
        <v>1564</v>
      </c>
      <c r="C258" s="572">
        <v>46070.302083333336</v>
      </c>
      <c r="D258" s="572">
        <v>46070.746527777781</v>
      </c>
      <c r="E258" s="571" t="s">
        <v>1651</v>
      </c>
      <c r="F258" s="571" t="s">
        <v>1008</v>
      </c>
    </row>
    <row r="259" spans="1:6" hidden="1" x14ac:dyDescent="0.35">
      <c r="A259" s="571" t="s">
        <v>1585</v>
      </c>
      <c r="B259" s="571" t="s">
        <v>1564</v>
      </c>
      <c r="C259" s="572">
        <v>46071.315972222219</v>
      </c>
      <c r="D259" s="572">
        <v>46071.367361111108</v>
      </c>
      <c r="E259" s="571" t="s">
        <v>1657</v>
      </c>
      <c r="F259" s="571" t="s">
        <v>1008</v>
      </c>
    </row>
    <row r="260" spans="1:6" hidden="1" x14ac:dyDescent="0.35">
      <c r="A260" s="571" t="s">
        <v>1585</v>
      </c>
      <c r="B260" s="571" t="s">
        <v>1564</v>
      </c>
      <c r="C260" s="551"/>
      <c r="D260" s="572">
        <v>46071.802777777775</v>
      </c>
      <c r="E260" s="571" t="s">
        <v>1645</v>
      </c>
      <c r="F260" s="571" t="s">
        <v>1008</v>
      </c>
    </row>
    <row r="261" spans="1:6" hidden="1" x14ac:dyDescent="0.35">
      <c r="A261" s="571" t="s">
        <v>1585</v>
      </c>
      <c r="B261" s="571" t="s">
        <v>1564</v>
      </c>
      <c r="C261" s="572">
        <v>46072.313888888886</v>
      </c>
      <c r="D261" s="572">
        <v>46072.361111111109</v>
      </c>
      <c r="E261" s="571" t="s">
        <v>1820</v>
      </c>
      <c r="F261" s="571" t="s">
        <v>1008</v>
      </c>
    </row>
    <row r="262" spans="1:6" hidden="1" x14ac:dyDescent="0.35">
      <c r="A262" s="571" t="s">
        <v>1585</v>
      </c>
      <c r="B262" s="571" t="s">
        <v>1564</v>
      </c>
      <c r="C262" s="572">
        <v>46073.254861111112</v>
      </c>
      <c r="D262" s="572">
        <v>46073.279166666667</v>
      </c>
      <c r="E262" s="571" t="s">
        <v>1702</v>
      </c>
      <c r="F262" s="571" t="s">
        <v>1008</v>
      </c>
    </row>
    <row r="263" spans="1:6" hidden="1" x14ac:dyDescent="0.35">
      <c r="A263" s="571" t="s">
        <v>1585</v>
      </c>
      <c r="B263" s="571" t="s">
        <v>1564</v>
      </c>
      <c r="C263" s="572">
        <v>46076.310416666667</v>
      </c>
      <c r="D263" s="572">
        <v>46076.34652777778</v>
      </c>
      <c r="E263" s="571" t="s">
        <v>1786</v>
      </c>
      <c r="F263" s="571" t="s">
        <v>1008</v>
      </c>
    </row>
    <row r="264" spans="1:6" hidden="1" x14ac:dyDescent="0.35">
      <c r="A264" s="571" t="s">
        <v>1585</v>
      </c>
      <c r="B264" s="571" t="s">
        <v>1564</v>
      </c>
      <c r="C264" s="572">
        <v>46076.49722222222</v>
      </c>
      <c r="D264" s="572">
        <v>46076.574305555558</v>
      </c>
      <c r="E264" s="571" t="s">
        <v>1856</v>
      </c>
      <c r="F264" s="571" t="s">
        <v>1008</v>
      </c>
    </row>
    <row r="265" spans="1:6" hidden="1" x14ac:dyDescent="0.35">
      <c r="A265" s="571" t="s">
        <v>1585</v>
      </c>
      <c r="B265" s="571" t="s">
        <v>1564</v>
      </c>
      <c r="C265" s="572">
        <v>46076.680555555555</v>
      </c>
      <c r="D265" s="572">
        <v>46076.738888888889</v>
      </c>
      <c r="E265" s="571" t="s">
        <v>1857</v>
      </c>
      <c r="F265" s="571" t="s">
        <v>1008</v>
      </c>
    </row>
    <row r="266" spans="1:6" hidden="1" x14ac:dyDescent="0.35">
      <c r="A266" s="571" t="s">
        <v>1585</v>
      </c>
      <c r="B266" s="571" t="s">
        <v>1564</v>
      </c>
      <c r="C266" s="572">
        <v>46077.336805555555</v>
      </c>
      <c r="D266" s="572">
        <v>46077.343055555553</v>
      </c>
      <c r="E266" s="571" t="s">
        <v>1667</v>
      </c>
      <c r="F266" s="571" t="s">
        <v>1008</v>
      </c>
    </row>
    <row r="267" spans="1:6" hidden="1" x14ac:dyDescent="0.35">
      <c r="A267" s="571" t="s">
        <v>1585</v>
      </c>
      <c r="B267" s="571" t="s">
        <v>1564</v>
      </c>
      <c r="C267" s="572">
        <v>46077.371527777781</v>
      </c>
      <c r="D267" s="572">
        <v>46077.695833333331</v>
      </c>
      <c r="E267" s="571" t="s">
        <v>1707</v>
      </c>
      <c r="F267" s="571" t="s">
        <v>1008</v>
      </c>
    </row>
    <row r="268" spans="1:6" hidden="1" x14ac:dyDescent="0.35">
      <c r="A268" s="571" t="s">
        <v>1585</v>
      </c>
      <c r="B268" s="571" t="s">
        <v>1564</v>
      </c>
      <c r="C268" s="551"/>
      <c r="D268" s="572">
        <v>46078.3125</v>
      </c>
      <c r="E268" s="571" t="s">
        <v>1645</v>
      </c>
      <c r="F268" s="571" t="s">
        <v>1008</v>
      </c>
    </row>
    <row r="269" spans="1:6" hidden="1" x14ac:dyDescent="0.35">
      <c r="A269" s="571" t="s">
        <v>1585</v>
      </c>
      <c r="B269" s="571" t="s">
        <v>1564</v>
      </c>
      <c r="C269" s="551"/>
      <c r="D269" s="572">
        <v>46078.712500000001</v>
      </c>
      <c r="E269" s="571" t="s">
        <v>1645</v>
      </c>
      <c r="F269" s="571" t="s">
        <v>1008</v>
      </c>
    </row>
    <row r="270" spans="1:6" hidden="1" x14ac:dyDescent="0.35">
      <c r="A270" s="571" t="s">
        <v>1585</v>
      </c>
      <c r="B270" s="571" t="s">
        <v>1564</v>
      </c>
      <c r="C270" s="572">
        <v>46079.311805555553</v>
      </c>
      <c r="D270" s="572">
        <v>46079.352777777778</v>
      </c>
      <c r="E270" s="571" t="s">
        <v>1779</v>
      </c>
      <c r="F270" s="571" t="s">
        <v>1008</v>
      </c>
    </row>
    <row r="271" spans="1:6" hidden="1" x14ac:dyDescent="0.35">
      <c r="A271" s="571" t="s">
        <v>1585</v>
      </c>
      <c r="B271" s="571" t="s">
        <v>1564</v>
      </c>
      <c r="C271" s="572">
        <v>46080.255555555559</v>
      </c>
      <c r="D271" s="572">
        <v>46080.527777777781</v>
      </c>
      <c r="E271" s="571" t="s">
        <v>1858</v>
      </c>
      <c r="F271" s="571" t="s">
        <v>1008</v>
      </c>
    </row>
    <row r="272" spans="1:6" hidden="1" x14ac:dyDescent="0.35">
      <c r="A272" s="571" t="s">
        <v>1585</v>
      </c>
      <c r="B272" s="571" t="s">
        <v>1564</v>
      </c>
      <c r="C272" s="572">
        <v>46080.582638888889</v>
      </c>
      <c r="D272" s="572">
        <v>46080.584027777775</v>
      </c>
      <c r="E272" s="571" t="s">
        <v>1647</v>
      </c>
      <c r="F272" s="571" t="s">
        <v>1008</v>
      </c>
    </row>
    <row r="273" spans="1:6" hidden="1" x14ac:dyDescent="0.35">
      <c r="A273" s="571" t="s">
        <v>1590</v>
      </c>
      <c r="B273" s="571" t="s">
        <v>1591</v>
      </c>
      <c r="C273" s="572">
        <v>46055.315972222219</v>
      </c>
      <c r="D273" s="572">
        <v>46055.695138888892</v>
      </c>
      <c r="E273" s="571" t="s">
        <v>1651</v>
      </c>
      <c r="F273" s="571" t="s">
        <v>1008</v>
      </c>
    </row>
    <row r="274" spans="1:6" hidden="1" x14ac:dyDescent="0.35">
      <c r="A274" s="571" t="s">
        <v>1590</v>
      </c>
      <c r="B274" s="571" t="s">
        <v>1591</v>
      </c>
      <c r="C274" s="572">
        <v>46056.318749999999</v>
      </c>
      <c r="D274" s="572">
        <v>46056.697916666664</v>
      </c>
      <c r="E274" s="571" t="s">
        <v>1651</v>
      </c>
      <c r="F274" s="571" t="s">
        <v>1008</v>
      </c>
    </row>
    <row r="275" spans="1:6" hidden="1" x14ac:dyDescent="0.35">
      <c r="A275" s="571" t="s">
        <v>1590</v>
      </c>
      <c r="B275" s="571" t="s">
        <v>1591</v>
      </c>
      <c r="C275" s="572">
        <v>46057.313194444447</v>
      </c>
      <c r="D275" s="572">
        <v>46057.691666666666</v>
      </c>
      <c r="E275" s="571" t="s">
        <v>1651</v>
      </c>
      <c r="F275" s="571" t="s">
        <v>1008</v>
      </c>
    </row>
    <row r="276" spans="1:6" hidden="1" x14ac:dyDescent="0.35">
      <c r="A276" s="571" t="s">
        <v>1590</v>
      </c>
      <c r="B276" s="571" t="s">
        <v>1591</v>
      </c>
      <c r="C276" s="572">
        <v>46058.313888888886</v>
      </c>
      <c r="D276" s="572">
        <v>46058.689583333333</v>
      </c>
      <c r="E276" s="571" t="s">
        <v>1651</v>
      </c>
      <c r="F276" s="571" t="s">
        <v>1008</v>
      </c>
    </row>
    <row r="277" spans="1:6" hidden="1" x14ac:dyDescent="0.35">
      <c r="A277" s="571" t="s">
        <v>1590</v>
      </c>
      <c r="B277" s="571" t="s">
        <v>1591</v>
      </c>
      <c r="C277" s="572">
        <v>46059.248611111114</v>
      </c>
      <c r="D277" s="572">
        <v>46059.584027777775</v>
      </c>
      <c r="E277" s="571" t="s">
        <v>1651</v>
      </c>
      <c r="F277" s="571" t="s">
        <v>1008</v>
      </c>
    </row>
    <row r="278" spans="1:6" hidden="1" x14ac:dyDescent="0.35">
      <c r="A278" s="571" t="s">
        <v>1590</v>
      </c>
      <c r="B278" s="571" t="s">
        <v>1591</v>
      </c>
      <c r="C278" s="572">
        <v>46062.31527777778</v>
      </c>
      <c r="D278" s="572">
        <v>46062.689583333333</v>
      </c>
      <c r="E278" s="571" t="s">
        <v>1651</v>
      </c>
      <c r="F278" s="571" t="s">
        <v>1008</v>
      </c>
    </row>
    <row r="279" spans="1:6" hidden="1" x14ac:dyDescent="0.35">
      <c r="A279" s="571" t="s">
        <v>1590</v>
      </c>
      <c r="B279" s="571" t="s">
        <v>1591</v>
      </c>
      <c r="C279" s="572">
        <v>46063.313888888886</v>
      </c>
      <c r="D279" s="572">
        <v>46063.685416666667</v>
      </c>
      <c r="E279" s="571" t="s">
        <v>1651</v>
      </c>
      <c r="F279" s="571" t="s">
        <v>1008</v>
      </c>
    </row>
    <row r="280" spans="1:6" hidden="1" x14ac:dyDescent="0.35">
      <c r="A280" s="571" t="s">
        <v>1590</v>
      </c>
      <c r="B280" s="571" t="s">
        <v>1591</v>
      </c>
      <c r="C280" s="572">
        <v>46064.315972222219</v>
      </c>
      <c r="D280" s="572">
        <v>46064.685416666667</v>
      </c>
      <c r="E280" s="571" t="s">
        <v>1651</v>
      </c>
      <c r="F280" s="571" t="s">
        <v>1008</v>
      </c>
    </row>
    <row r="281" spans="1:6" hidden="1" x14ac:dyDescent="0.35">
      <c r="A281" s="571" t="s">
        <v>1590</v>
      </c>
      <c r="B281" s="571" t="s">
        <v>1591</v>
      </c>
      <c r="C281" s="572">
        <v>46065.314583333333</v>
      </c>
      <c r="D281" s="572">
        <v>46065.692361111112</v>
      </c>
      <c r="E281" s="571" t="s">
        <v>1651</v>
      </c>
      <c r="F281" s="571" t="s">
        <v>1008</v>
      </c>
    </row>
    <row r="282" spans="1:6" hidden="1" x14ac:dyDescent="0.35">
      <c r="A282" s="571" t="s">
        <v>1590</v>
      </c>
      <c r="B282" s="571" t="s">
        <v>1591</v>
      </c>
      <c r="C282" s="572">
        <v>46066.248611111114</v>
      </c>
      <c r="D282" s="572">
        <v>46066.587500000001</v>
      </c>
      <c r="E282" s="571" t="s">
        <v>1651</v>
      </c>
      <c r="F282" s="571" t="s">
        <v>1008</v>
      </c>
    </row>
    <row r="283" spans="1:6" hidden="1" x14ac:dyDescent="0.35">
      <c r="A283" s="571" t="s">
        <v>1590</v>
      </c>
      <c r="B283" s="571" t="s">
        <v>1591</v>
      </c>
      <c r="C283" s="572">
        <v>46071.313194444447</v>
      </c>
      <c r="D283" s="572">
        <v>46071.688194444447</v>
      </c>
      <c r="E283" s="571" t="s">
        <v>1651</v>
      </c>
      <c r="F283" s="571" t="s">
        <v>1008</v>
      </c>
    </row>
    <row r="284" spans="1:6" hidden="1" x14ac:dyDescent="0.35">
      <c r="A284" s="571" t="s">
        <v>1590</v>
      </c>
      <c r="B284" s="571" t="s">
        <v>1591</v>
      </c>
      <c r="C284" s="572">
        <v>46072.313194444447</v>
      </c>
      <c r="D284" s="572">
        <v>46072.689583333333</v>
      </c>
      <c r="E284" s="571" t="s">
        <v>1651</v>
      </c>
      <c r="F284" s="571" t="s">
        <v>1008</v>
      </c>
    </row>
    <row r="285" spans="1:6" hidden="1" x14ac:dyDescent="0.35">
      <c r="A285" s="571" t="s">
        <v>1590</v>
      </c>
      <c r="B285" s="571" t="s">
        <v>1591</v>
      </c>
      <c r="C285" s="572">
        <v>46073.253472222219</v>
      </c>
      <c r="D285" s="572">
        <v>46073.586805555555</v>
      </c>
      <c r="E285" s="571" t="s">
        <v>1651</v>
      </c>
      <c r="F285" s="571" t="s">
        <v>1008</v>
      </c>
    </row>
    <row r="286" spans="1:6" hidden="1" x14ac:dyDescent="0.35">
      <c r="A286" s="571" t="s">
        <v>1590</v>
      </c>
      <c r="B286" s="571" t="s">
        <v>1591</v>
      </c>
      <c r="C286" s="572">
        <v>46076.310416666667</v>
      </c>
      <c r="D286" s="572">
        <v>46076.6875</v>
      </c>
      <c r="E286" s="571" t="s">
        <v>1651</v>
      </c>
      <c r="F286" s="571" t="s">
        <v>1008</v>
      </c>
    </row>
    <row r="287" spans="1:6" hidden="1" x14ac:dyDescent="0.35">
      <c r="A287" s="571" t="s">
        <v>1590</v>
      </c>
      <c r="B287" s="571" t="s">
        <v>1591</v>
      </c>
      <c r="C287" s="572">
        <v>46077.325694444444</v>
      </c>
      <c r="D287" s="572">
        <v>46077.69027777778</v>
      </c>
      <c r="E287" s="571" t="s">
        <v>1651</v>
      </c>
      <c r="F287" s="571" t="s">
        <v>1008</v>
      </c>
    </row>
    <row r="288" spans="1:6" hidden="1" x14ac:dyDescent="0.35">
      <c r="A288" s="571" t="s">
        <v>1590</v>
      </c>
      <c r="B288" s="571" t="s">
        <v>1591</v>
      </c>
      <c r="C288" s="572">
        <v>46078.308333333334</v>
      </c>
      <c r="D288" s="572">
        <v>46078.686111111114</v>
      </c>
      <c r="E288" s="571" t="s">
        <v>1651</v>
      </c>
      <c r="F288" s="571" t="s">
        <v>1008</v>
      </c>
    </row>
    <row r="289" spans="1:6" hidden="1" x14ac:dyDescent="0.35">
      <c r="A289" s="571" t="s">
        <v>1590</v>
      </c>
      <c r="B289" s="571" t="s">
        <v>1591</v>
      </c>
      <c r="C289" s="572">
        <v>46079.311805555553</v>
      </c>
      <c r="D289" s="572">
        <v>46079.691666666666</v>
      </c>
      <c r="E289" s="571" t="s">
        <v>1651</v>
      </c>
      <c r="F289" s="571" t="s">
        <v>1008</v>
      </c>
    </row>
    <row r="290" spans="1:6" hidden="1" x14ac:dyDescent="0.35">
      <c r="A290" s="571" t="s">
        <v>1590</v>
      </c>
      <c r="B290" s="571" t="s">
        <v>1591</v>
      </c>
      <c r="C290" s="572">
        <v>46080.255555555559</v>
      </c>
      <c r="D290" s="572">
        <v>46080.584027777775</v>
      </c>
      <c r="E290" s="571" t="s">
        <v>1859</v>
      </c>
      <c r="F290" s="571" t="s">
        <v>1008</v>
      </c>
    </row>
    <row r="291" spans="1:6" x14ac:dyDescent="0.35">
      <c r="A291" s="571" t="s">
        <v>1582</v>
      </c>
      <c r="B291" s="571" t="s">
        <v>1561</v>
      </c>
      <c r="C291" s="572">
        <v>46080.255555555559</v>
      </c>
      <c r="D291" s="572">
        <v>46080.293749999997</v>
      </c>
      <c r="E291" s="571" t="s">
        <v>1778</v>
      </c>
      <c r="F291" s="571" t="s">
        <v>1008</v>
      </c>
    </row>
    <row r="292" spans="1:6" hidden="1" x14ac:dyDescent="0.35">
      <c r="A292" s="571" t="s">
        <v>1586</v>
      </c>
      <c r="B292" s="571" t="s">
        <v>1587</v>
      </c>
      <c r="C292" s="572">
        <v>46058.480555555558</v>
      </c>
      <c r="D292" s="572">
        <v>46058.654166666667</v>
      </c>
      <c r="E292" s="571" t="s">
        <v>1713</v>
      </c>
      <c r="F292" s="571" t="s">
        <v>1788</v>
      </c>
    </row>
    <row r="293" spans="1:6" hidden="1" x14ac:dyDescent="0.35">
      <c r="A293" s="571" t="s">
        <v>1586</v>
      </c>
      <c r="B293" s="571" t="s">
        <v>1587</v>
      </c>
      <c r="C293" s="572">
        <v>46060.595138888886</v>
      </c>
      <c r="D293" s="572">
        <v>46060.611805555556</v>
      </c>
      <c r="E293" s="571" t="s">
        <v>1646</v>
      </c>
      <c r="F293" s="571" t="s">
        <v>1788</v>
      </c>
    </row>
    <row r="294" spans="1:6" hidden="1" x14ac:dyDescent="0.35">
      <c r="A294" s="571" t="s">
        <v>1586</v>
      </c>
      <c r="B294" s="571" t="s">
        <v>1587</v>
      </c>
      <c r="C294" s="572">
        <v>46060.76666666667</v>
      </c>
      <c r="D294" s="572">
        <v>46060.772222222222</v>
      </c>
      <c r="E294" s="571" t="s">
        <v>1701</v>
      </c>
      <c r="F294" s="571" t="s">
        <v>1788</v>
      </c>
    </row>
    <row r="295" spans="1:6" hidden="1" x14ac:dyDescent="0.35">
      <c r="A295" s="571" t="s">
        <v>1586</v>
      </c>
      <c r="B295" s="571" t="s">
        <v>1587</v>
      </c>
      <c r="C295" s="572">
        <v>46061.40347222222</v>
      </c>
      <c r="D295" s="572">
        <v>46061.413888888892</v>
      </c>
      <c r="E295" s="571" t="s">
        <v>1680</v>
      </c>
      <c r="F295" s="571" t="s">
        <v>1788</v>
      </c>
    </row>
    <row r="296" spans="1:6" hidden="1" x14ac:dyDescent="0.35">
      <c r="A296" s="571" t="s">
        <v>1586</v>
      </c>
      <c r="B296" s="571" t="s">
        <v>1587</v>
      </c>
      <c r="C296" s="572">
        <v>46063.39166666667</v>
      </c>
      <c r="D296" s="572">
        <v>46063.442361111112</v>
      </c>
      <c r="E296" s="571" t="s">
        <v>1831</v>
      </c>
      <c r="F296" s="571" t="s">
        <v>1788</v>
      </c>
    </row>
    <row r="297" spans="1:6" hidden="1" x14ac:dyDescent="0.35">
      <c r="A297" s="571" t="s">
        <v>1586</v>
      </c>
      <c r="B297" s="571" t="s">
        <v>1587</v>
      </c>
      <c r="C297" s="572">
        <v>46063.486111111109</v>
      </c>
      <c r="D297" s="572">
        <v>46063.533333333333</v>
      </c>
      <c r="E297" s="571" t="s">
        <v>1820</v>
      </c>
      <c r="F297" s="571" t="s">
        <v>1788</v>
      </c>
    </row>
    <row r="298" spans="1:6" hidden="1" x14ac:dyDescent="0.35">
      <c r="A298" s="571" t="s">
        <v>1586</v>
      </c>
      <c r="B298" s="571" t="s">
        <v>1587</v>
      </c>
      <c r="C298" s="551"/>
      <c r="D298" s="572">
        <v>46063.693055555559</v>
      </c>
      <c r="E298" s="571" t="s">
        <v>1645</v>
      </c>
      <c r="F298" s="571" t="s">
        <v>1788</v>
      </c>
    </row>
    <row r="299" spans="1:6" hidden="1" x14ac:dyDescent="0.35">
      <c r="A299" s="571" t="s">
        <v>1586</v>
      </c>
      <c r="B299" s="571" t="s">
        <v>1587</v>
      </c>
      <c r="C299" s="572">
        <v>46065.40625</v>
      </c>
      <c r="D299" s="572">
        <v>46065.454861111109</v>
      </c>
      <c r="E299" s="571" t="s">
        <v>1661</v>
      </c>
      <c r="F299" s="571" t="s">
        <v>1788</v>
      </c>
    </row>
    <row r="300" spans="1:6" hidden="1" x14ac:dyDescent="0.35">
      <c r="A300" s="571" t="s">
        <v>1586</v>
      </c>
      <c r="B300" s="571" t="s">
        <v>1587</v>
      </c>
      <c r="C300" s="572">
        <v>46065.484722222223</v>
      </c>
      <c r="D300" s="572">
        <v>46065.664583333331</v>
      </c>
      <c r="E300" s="571" t="s">
        <v>1688</v>
      </c>
      <c r="F300" s="571" t="s">
        <v>1788</v>
      </c>
    </row>
    <row r="301" spans="1:6" hidden="1" x14ac:dyDescent="0.35">
      <c r="A301" s="571" t="s">
        <v>1681</v>
      </c>
      <c r="B301" s="571" t="s">
        <v>1682</v>
      </c>
      <c r="C301" s="572">
        <v>46057.718055555553</v>
      </c>
      <c r="D301" s="572">
        <v>46057.777777777781</v>
      </c>
      <c r="E301" s="571" t="s">
        <v>1861</v>
      </c>
      <c r="F301" s="571" t="s">
        <v>1788</v>
      </c>
    </row>
    <row r="302" spans="1:6" hidden="1" x14ac:dyDescent="0.35">
      <c r="A302" s="571" t="s">
        <v>1588</v>
      </c>
      <c r="B302" s="571" t="s">
        <v>1589</v>
      </c>
      <c r="C302" s="572">
        <v>46057.71875</v>
      </c>
      <c r="D302" s="572">
        <v>46057.784722222219</v>
      </c>
      <c r="E302" s="571" t="s">
        <v>1804</v>
      </c>
      <c r="F302" s="571" t="s">
        <v>1788</v>
      </c>
    </row>
    <row r="303" spans="1:6" hidden="1" x14ac:dyDescent="0.35">
      <c r="A303" s="571" t="s">
        <v>1588</v>
      </c>
      <c r="B303" s="571" t="s">
        <v>1589</v>
      </c>
      <c r="C303" s="572">
        <v>46058.472916666666</v>
      </c>
      <c r="D303" s="572">
        <v>46058.65</v>
      </c>
      <c r="E303" s="571" t="s">
        <v>1689</v>
      </c>
      <c r="F303" s="571" t="s">
        <v>1788</v>
      </c>
    </row>
    <row r="304" spans="1:6" hidden="1" x14ac:dyDescent="0.35">
      <c r="A304" s="571" t="s">
        <v>1588</v>
      </c>
      <c r="B304" s="571" t="s">
        <v>1589</v>
      </c>
      <c r="C304" s="572">
        <v>46063.39166666667</v>
      </c>
      <c r="D304" s="572">
        <v>46063.443055555559</v>
      </c>
      <c r="E304" s="571" t="s">
        <v>1657</v>
      </c>
      <c r="F304" s="571" t="s">
        <v>1788</v>
      </c>
    </row>
    <row r="305" spans="1:6" hidden="1" x14ac:dyDescent="0.35">
      <c r="A305" s="571" t="s">
        <v>1588</v>
      </c>
      <c r="B305" s="571" t="s">
        <v>1589</v>
      </c>
      <c r="C305" s="572">
        <v>46063.486111111109</v>
      </c>
      <c r="D305" s="572">
        <v>46063.533333333333</v>
      </c>
      <c r="E305" s="571" t="s">
        <v>1820</v>
      </c>
      <c r="F305" s="571" t="s">
        <v>1788</v>
      </c>
    </row>
    <row r="306" spans="1:6" hidden="1" x14ac:dyDescent="0.35">
      <c r="A306" s="571" t="s">
        <v>1588</v>
      </c>
      <c r="B306" s="571" t="s">
        <v>1589</v>
      </c>
      <c r="C306" s="551"/>
      <c r="D306" s="572">
        <v>46063.693055555559</v>
      </c>
      <c r="E306" s="571" t="s">
        <v>1645</v>
      </c>
      <c r="F306" s="571" t="s">
        <v>1788</v>
      </c>
    </row>
    <row r="307" spans="1:6" hidden="1" x14ac:dyDescent="0.35">
      <c r="A307" s="571" t="s">
        <v>1588</v>
      </c>
      <c r="B307" s="571" t="s">
        <v>1589</v>
      </c>
      <c r="C307" s="572">
        <v>46065.42083333333</v>
      </c>
      <c r="D307" s="572">
        <v>46065.664583333331</v>
      </c>
      <c r="E307" s="571" t="s">
        <v>1665</v>
      </c>
      <c r="F307" s="571" t="s">
        <v>1788</v>
      </c>
    </row>
    <row r="308" spans="1:6" hidden="1" x14ac:dyDescent="0.35">
      <c r="A308" s="571" t="s">
        <v>1584</v>
      </c>
      <c r="B308" s="571" t="s">
        <v>1563</v>
      </c>
      <c r="C308" s="572">
        <v>46058.433333333334</v>
      </c>
      <c r="D308" s="572">
        <v>46058.647916666669</v>
      </c>
      <c r="E308" s="571" t="s">
        <v>1862</v>
      </c>
      <c r="F308" s="571" t="s">
        <v>1788</v>
      </c>
    </row>
    <row r="309" spans="1:6" hidden="1" x14ac:dyDescent="0.35">
      <c r="A309" s="571" t="s">
        <v>1584</v>
      </c>
      <c r="B309" s="571" t="s">
        <v>1563</v>
      </c>
      <c r="C309" s="572">
        <v>46065.407638888886</v>
      </c>
      <c r="D309" s="572">
        <v>46065.611111111109</v>
      </c>
      <c r="E309" s="571" t="s">
        <v>1844</v>
      </c>
      <c r="F309" s="571" t="s">
        <v>1788</v>
      </c>
    </row>
    <row r="310" spans="1:6" hidden="1" x14ac:dyDescent="0.35">
      <c r="A310" s="571" t="s">
        <v>1585</v>
      </c>
      <c r="B310" s="571" t="s">
        <v>1564</v>
      </c>
      <c r="C310" s="572">
        <v>46057.68472222222</v>
      </c>
      <c r="D310" s="572">
        <v>46057.784722222219</v>
      </c>
      <c r="E310" s="571" t="s">
        <v>1753</v>
      </c>
      <c r="F310" s="571" t="s">
        <v>1788</v>
      </c>
    </row>
    <row r="311" spans="1:6" hidden="1" x14ac:dyDescent="0.35">
      <c r="A311" s="571" t="s">
        <v>1585</v>
      </c>
      <c r="B311" s="571" t="s">
        <v>1564</v>
      </c>
      <c r="C311" s="572">
        <v>46058.433333333334</v>
      </c>
      <c r="D311" s="572">
        <v>46058.649305555555</v>
      </c>
      <c r="E311" s="571" t="s">
        <v>1863</v>
      </c>
      <c r="F311" s="571" t="s">
        <v>1788</v>
      </c>
    </row>
    <row r="312" spans="1:6" hidden="1" x14ac:dyDescent="0.35">
      <c r="A312" s="571" t="s">
        <v>1585</v>
      </c>
      <c r="B312" s="571" t="s">
        <v>1564</v>
      </c>
      <c r="C312" s="572">
        <v>46060.595833333333</v>
      </c>
      <c r="D312" s="572">
        <v>46060.611111111109</v>
      </c>
      <c r="E312" s="571" t="s">
        <v>1864</v>
      </c>
      <c r="F312" s="571" t="s">
        <v>1788</v>
      </c>
    </row>
    <row r="313" spans="1:6" hidden="1" x14ac:dyDescent="0.35">
      <c r="A313" s="571" t="s">
        <v>1585</v>
      </c>
      <c r="B313" s="571" t="s">
        <v>1564</v>
      </c>
      <c r="C313" s="572">
        <v>46060.76666666667</v>
      </c>
      <c r="D313" s="572">
        <v>46060.773611111108</v>
      </c>
      <c r="E313" s="571" t="s">
        <v>1704</v>
      </c>
      <c r="F313" s="571" t="s">
        <v>1788</v>
      </c>
    </row>
    <row r="314" spans="1:6" hidden="1" x14ac:dyDescent="0.35">
      <c r="A314" s="571" t="s">
        <v>1585</v>
      </c>
      <c r="B314" s="571" t="s">
        <v>1564</v>
      </c>
      <c r="C314" s="572">
        <v>46061.402777777781</v>
      </c>
      <c r="D314" s="572">
        <v>46061.413888888892</v>
      </c>
      <c r="E314" s="571" t="s">
        <v>1802</v>
      </c>
      <c r="F314" s="571" t="s">
        <v>1788</v>
      </c>
    </row>
    <row r="315" spans="1:6" hidden="1" x14ac:dyDescent="0.35">
      <c r="A315" s="571" t="s">
        <v>1585</v>
      </c>
      <c r="B315" s="571" t="s">
        <v>1564</v>
      </c>
      <c r="C315" s="572">
        <v>46063.425694444442</v>
      </c>
      <c r="D315" s="572">
        <v>46063.43472222222</v>
      </c>
      <c r="E315" s="571" t="s">
        <v>1694</v>
      </c>
      <c r="F315" s="571" t="s">
        <v>1788</v>
      </c>
    </row>
    <row r="316" spans="1:6" hidden="1" x14ac:dyDescent="0.35">
      <c r="A316" s="571" t="s">
        <v>1585</v>
      </c>
      <c r="B316" s="571" t="s">
        <v>1564</v>
      </c>
      <c r="C316" s="572">
        <v>46065.443749999999</v>
      </c>
      <c r="D316" s="572">
        <v>46065.536111111112</v>
      </c>
      <c r="E316" s="571" t="s">
        <v>1643</v>
      </c>
      <c r="F316" s="571" t="s">
        <v>1788</v>
      </c>
    </row>
    <row r="317" spans="1:6" hidden="1" x14ac:dyDescent="0.35">
      <c r="A317" s="571" t="s">
        <v>1585</v>
      </c>
      <c r="B317" s="571" t="s">
        <v>1564</v>
      </c>
      <c r="C317" s="551"/>
      <c r="D317" s="572">
        <v>46065.666666666664</v>
      </c>
      <c r="E317" s="571" t="s">
        <v>1645</v>
      </c>
      <c r="F317" s="571" t="s">
        <v>1788</v>
      </c>
    </row>
    <row r="318" spans="1:6" hidden="1" x14ac:dyDescent="0.35">
      <c r="A318" s="571" t="s">
        <v>1585</v>
      </c>
      <c r="B318" s="571" t="s">
        <v>1564</v>
      </c>
      <c r="C318" s="572">
        <v>46077.302777777775</v>
      </c>
      <c r="D318" s="572">
        <v>46077.326388888891</v>
      </c>
      <c r="E318" s="571" t="s">
        <v>1700</v>
      </c>
      <c r="F318" s="571" t="s">
        <v>1788</v>
      </c>
    </row>
    <row r="319" spans="1:6" hidden="1" x14ac:dyDescent="0.35">
      <c r="A319" s="571" t="s">
        <v>1585</v>
      </c>
      <c r="B319" s="571" t="s">
        <v>1564</v>
      </c>
      <c r="C319" s="572">
        <v>46079.365972222222</v>
      </c>
      <c r="D319" s="572">
        <v>46079.497916666667</v>
      </c>
      <c r="E319" s="571" t="s">
        <v>1775</v>
      </c>
      <c r="F319" s="571" t="s">
        <v>1788</v>
      </c>
    </row>
    <row r="320" spans="1:6" hidden="1" x14ac:dyDescent="0.35">
      <c r="A320" s="571" t="s">
        <v>1585</v>
      </c>
      <c r="B320" s="571" t="s">
        <v>1564</v>
      </c>
      <c r="C320" s="572">
        <v>46079.523611111108</v>
      </c>
      <c r="D320" s="572">
        <v>46079.678472222222</v>
      </c>
      <c r="E320" s="571" t="s">
        <v>1855</v>
      </c>
      <c r="F320" s="571" t="s">
        <v>1788</v>
      </c>
    </row>
    <row r="321" spans="1:6" hidden="1" x14ac:dyDescent="0.35">
      <c r="A321" s="475"/>
      <c r="B321" s="475"/>
      <c r="C321" s="549"/>
      <c r="D321" s="549"/>
      <c r="E321" s="475"/>
      <c r="F321" s="475"/>
    </row>
    <row r="322" spans="1:6" hidden="1" x14ac:dyDescent="0.35">
      <c r="A322" s="475"/>
      <c r="B322" s="475"/>
      <c r="C322" s="549"/>
      <c r="D322" s="549"/>
      <c r="E322" s="475"/>
      <c r="F322" s="475"/>
    </row>
    <row r="323" spans="1:6" hidden="1" x14ac:dyDescent="0.35">
      <c r="A323" s="475"/>
      <c r="B323" s="475"/>
      <c r="C323" s="549"/>
      <c r="D323" s="549"/>
      <c r="E323" s="475"/>
      <c r="F323" s="475"/>
    </row>
    <row r="324" spans="1:6" hidden="1" x14ac:dyDescent="0.35">
      <c r="A324" s="475"/>
      <c r="B324" s="475"/>
      <c r="C324" s="549"/>
      <c r="D324" s="549"/>
      <c r="E324" s="475"/>
      <c r="F324" s="475"/>
    </row>
    <row r="325" spans="1:6" hidden="1" x14ac:dyDescent="0.35">
      <c r="A325" s="475"/>
      <c r="B325" s="475"/>
      <c r="C325" s="549"/>
      <c r="D325" s="549"/>
      <c r="E325" s="475"/>
      <c r="F325" s="475"/>
    </row>
    <row r="326" spans="1:6" hidden="1" x14ac:dyDescent="0.35">
      <c r="A326" s="475"/>
      <c r="B326" s="475"/>
      <c r="C326" s="549"/>
      <c r="D326" s="549"/>
      <c r="E326" s="475"/>
      <c r="F326" s="475"/>
    </row>
    <row r="327" spans="1:6" hidden="1" x14ac:dyDescent="0.35">
      <c r="A327" s="475"/>
      <c r="B327" s="475"/>
      <c r="C327" s="549"/>
      <c r="D327" s="549"/>
      <c r="E327" s="475"/>
      <c r="F327" s="475"/>
    </row>
    <row r="328" spans="1:6" hidden="1" x14ac:dyDescent="0.35">
      <c r="A328" s="475"/>
      <c r="B328" s="475"/>
      <c r="C328" s="549"/>
      <c r="D328" s="549"/>
      <c r="E328" s="475"/>
      <c r="F328" s="475"/>
    </row>
    <row r="329" spans="1:6" hidden="1" x14ac:dyDescent="0.35">
      <c r="A329" s="475"/>
      <c r="B329" s="475"/>
      <c r="C329" s="549"/>
      <c r="D329" s="549"/>
      <c r="E329" s="475"/>
      <c r="F329" s="475"/>
    </row>
    <row r="330" spans="1:6" hidden="1" x14ac:dyDescent="0.35">
      <c r="A330" s="475"/>
      <c r="B330" s="475"/>
      <c r="C330" s="551"/>
      <c r="D330" s="549"/>
      <c r="E330" s="475"/>
      <c r="F330" s="475"/>
    </row>
    <row r="331" spans="1:6" hidden="1" x14ac:dyDescent="0.35">
      <c r="A331" s="475"/>
      <c r="B331" s="475"/>
      <c r="C331" s="549"/>
      <c r="D331" s="549"/>
      <c r="E331" s="475"/>
      <c r="F331" s="475"/>
    </row>
    <row r="332" spans="1:6" hidden="1" x14ac:dyDescent="0.35">
      <c r="A332" s="475"/>
      <c r="B332" s="475"/>
      <c r="C332" s="549"/>
      <c r="D332" s="549"/>
      <c r="E332" s="475"/>
      <c r="F332" s="475"/>
    </row>
    <row r="333" spans="1:6" hidden="1" x14ac:dyDescent="0.35">
      <c r="A333" s="475"/>
      <c r="B333" s="475"/>
      <c r="C333" s="549"/>
      <c r="D333" s="549"/>
      <c r="E333" s="475"/>
      <c r="F333" s="475"/>
    </row>
    <row r="334" spans="1:6" hidden="1" x14ac:dyDescent="0.35">
      <c r="A334" s="475"/>
      <c r="B334" s="475"/>
      <c r="C334" s="549"/>
      <c r="D334" s="549"/>
      <c r="E334" s="475"/>
      <c r="F334" s="475"/>
    </row>
    <row r="335" spans="1:6" hidden="1" x14ac:dyDescent="0.35">
      <c r="A335" s="475"/>
      <c r="B335" s="475"/>
      <c r="C335" s="549"/>
      <c r="D335" s="549"/>
      <c r="E335" s="475"/>
      <c r="F335" s="475"/>
    </row>
    <row r="336" spans="1:6" hidden="1" x14ac:dyDescent="0.35">
      <c r="A336" s="475"/>
      <c r="B336" s="475"/>
      <c r="C336" s="549"/>
      <c r="D336" s="549"/>
      <c r="E336" s="475"/>
      <c r="F336" s="475"/>
    </row>
    <row r="337" spans="1:6" hidden="1" x14ac:dyDescent="0.35">
      <c r="A337" s="475"/>
      <c r="B337" s="475"/>
      <c r="C337" s="549"/>
      <c r="D337" s="549"/>
      <c r="E337" s="475"/>
      <c r="F337" s="475"/>
    </row>
    <row r="338" spans="1:6" hidden="1" x14ac:dyDescent="0.35">
      <c r="A338" s="475"/>
      <c r="B338" s="475"/>
      <c r="C338" s="549"/>
      <c r="D338" s="549"/>
      <c r="E338" s="475"/>
      <c r="F338" s="475"/>
    </row>
    <row r="339" spans="1:6" hidden="1" x14ac:dyDescent="0.35">
      <c r="A339" s="475"/>
      <c r="B339" s="475"/>
      <c r="C339" s="551"/>
      <c r="D339" s="549"/>
      <c r="E339" s="475"/>
      <c r="F339" s="475"/>
    </row>
    <row r="340" spans="1:6" hidden="1" x14ac:dyDescent="0.35">
      <c r="A340" s="475"/>
      <c r="B340" s="475"/>
      <c r="C340" s="549"/>
      <c r="D340" s="549"/>
      <c r="E340" s="475"/>
      <c r="F340" s="475"/>
    </row>
    <row r="341" spans="1:6" hidden="1" x14ac:dyDescent="0.35">
      <c r="A341" s="475"/>
      <c r="B341" s="475"/>
      <c r="C341" s="549"/>
      <c r="D341" s="549"/>
      <c r="E341" s="475"/>
      <c r="F341" s="475"/>
    </row>
    <row r="342" spans="1:6" hidden="1" x14ac:dyDescent="0.35">
      <c r="A342" s="475"/>
      <c r="B342" s="475"/>
      <c r="C342" s="551"/>
      <c r="D342" s="549"/>
      <c r="E342" s="475"/>
      <c r="F342" s="475"/>
    </row>
    <row r="343" spans="1:6" hidden="1" x14ac:dyDescent="0.35">
      <c r="A343" s="475"/>
      <c r="B343" s="475"/>
      <c r="C343" s="549"/>
      <c r="D343" s="549"/>
      <c r="E343" s="475"/>
      <c r="F343" s="475"/>
    </row>
    <row r="344" spans="1:6" hidden="1" x14ac:dyDescent="0.35">
      <c r="A344" s="475"/>
      <c r="B344" s="475"/>
      <c r="C344" s="549"/>
      <c r="D344" s="549"/>
      <c r="E344" s="475"/>
      <c r="F344" s="475"/>
    </row>
    <row r="345" spans="1:6" hidden="1" x14ac:dyDescent="0.35">
      <c r="A345" s="475"/>
      <c r="B345" s="475"/>
      <c r="C345" s="549"/>
      <c r="D345" s="549"/>
      <c r="E345" s="475"/>
      <c r="F345" s="475"/>
    </row>
    <row r="346" spans="1:6" hidden="1" x14ac:dyDescent="0.35">
      <c r="A346" s="475"/>
      <c r="B346" s="475"/>
      <c r="C346" s="549"/>
      <c r="D346" s="549"/>
      <c r="E346" s="475"/>
      <c r="F346" s="475"/>
    </row>
    <row r="347" spans="1:6" hidden="1" x14ac:dyDescent="0.35">
      <c r="A347" s="475"/>
      <c r="B347" s="475"/>
      <c r="C347" s="549"/>
      <c r="D347" s="549"/>
      <c r="E347" s="475"/>
      <c r="F347" s="475"/>
    </row>
    <row r="348" spans="1:6" hidden="1" x14ac:dyDescent="0.35">
      <c r="A348" s="475"/>
      <c r="B348" s="475"/>
      <c r="C348" s="549"/>
      <c r="D348" s="549"/>
      <c r="E348" s="475"/>
      <c r="F348" s="475"/>
    </row>
    <row r="349" spans="1:6" hidden="1" x14ac:dyDescent="0.35">
      <c r="A349" s="475"/>
      <c r="B349" s="475"/>
      <c r="C349" s="549"/>
      <c r="D349" s="549"/>
      <c r="E349" s="475"/>
      <c r="F349" s="475"/>
    </row>
    <row r="350" spans="1:6" hidden="1" x14ac:dyDescent="0.35">
      <c r="A350" s="475"/>
      <c r="B350" s="475"/>
      <c r="C350" s="549"/>
      <c r="D350" s="549"/>
      <c r="E350" s="475"/>
      <c r="F350" s="475"/>
    </row>
    <row r="351" spans="1:6" hidden="1" x14ac:dyDescent="0.35">
      <c r="A351" s="475"/>
      <c r="B351" s="475"/>
      <c r="C351" s="551"/>
      <c r="D351" s="549"/>
      <c r="E351" s="475"/>
      <c r="F351" s="475"/>
    </row>
    <row r="352" spans="1:6" hidden="1" x14ac:dyDescent="0.35">
      <c r="A352" s="475"/>
      <c r="B352" s="475"/>
      <c r="C352" s="549"/>
      <c r="D352" s="549"/>
      <c r="E352" s="475"/>
      <c r="F352" s="475"/>
    </row>
    <row r="353" spans="1:6" hidden="1" x14ac:dyDescent="0.35">
      <c r="A353" s="475"/>
      <c r="B353" s="475"/>
      <c r="C353" s="551"/>
      <c r="D353" s="549"/>
      <c r="E353" s="475"/>
      <c r="F353" s="475"/>
    </row>
    <row r="354" spans="1:6" hidden="1" x14ac:dyDescent="0.35">
      <c r="A354" s="475"/>
      <c r="B354" s="475"/>
      <c r="C354" s="549"/>
      <c r="D354" s="549"/>
      <c r="E354" s="475"/>
      <c r="F354" s="475"/>
    </row>
    <row r="355" spans="1:6" hidden="1" x14ac:dyDescent="0.35">
      <c r="A355" s="475"/>
      <c r="B355" s="475"/>
      <c r="C355" s="549"/>
      <c r="D355" s="549"/>
      <c r="E355" s="475"/>
      <c r="F355" s="475"/>
    </row>
    <row r="356" spans="1:6" hidden="1" x14ac:dyDescent="0.35">
      <c r="A356" s="475"/>
      <c r="B356" s="475"/>
      <c r="C356" s="551"/>
      <c r="D356" s="549"/>
      <c r="E356" s="475"/>
      <c r="F356" s="475"/>
    </row>
    <row r="357" spans="1:6" hidden="1" x14ac:dyDescent="0.35">
      <c r="A357" s="475"/>
      <c r="B357" s="475"/>
      <c r="C357" s="551"/>
      <c r="D357" s="549"/>
      <c r="E357" s="475"/>
      <c r="F357" s="475"/>
    </row>
    <row r="358" spans="1:6" hidden="1" x14ac:dyDescent="0.35">
      <c r="A358" s="475"/>
      <c r="B358" s="475"/>
      <c r="C358" s="549"/>
      <c r="D358" s="549"/>
      <c r="E358" s="475"/>
      <c r="F358" s="475"/>
    </row>
    <row r="359" spans="1:6" hidden="1" x14ac:dyDescent="0.35">
      <c r="A359" s="475"/>
      <c r="B359" s="475"/>
      <c r="C359" s="549"/>
      <c r="D359" s="549"/>
      <c r="E359" s="475"/>
      <c r="F359" s="475"/>
    </row>
    <row r="360" spans="1:6" hidden="1" x14ac:dyDescent="0.35">
      <c r="A360" s="475"/>
      <c r="B360" s="475"/>
      <c r="C360" s="551"/>
      <c r="D360" s="549"/>
      <c r="E360" s="475"/>
      <c r="F360" s="475"/>
    </row>
    <row r="361" spans="1:6" hidden="1" x14ac:dyDescent="0.35">
      <c r="A361" s="475"/>
      <c r="B361" s="475"/>
      <c r="C361" s="549"/>
      <c r="D361" s="549"/>
      <c r="E361" s="475"/>
      <c r="F361" s="475"/>
    </row>
    <row r="362" spans="1:6" hidden="1" x14ac:dyDescent="0.35">
      <c r="A362" s="475"/>
      <c r="B362" s="475"/>
      <c r="C362" s="549"/>
      <c r="D362" s="549"/>
      <c r="E362" s="475"/>
      <c r="F362" s="475"/>
    </row>
    <row r="363" spans="1:6" hidden="1" x14ac:dyDescent="0.35">
      <c r="A363" s="475"/>
      <c r="B363" s="475"/>
      <c r="C363" s="551"/>
      <c r="D363" s="549"/>
      <c r="E363" s="475"/>
      <c r="F363" s="475"/>
    </row>
    <row r="364" spans="1:6" hidden="1" x14ac:dyDescent="0.35">
      <c r="A364" s="475"/>
      <c r="B364" s="475"/>
      <c r="C364" s="549"/>
      <c r="D364" s="549"/>
      <c r="E364" s="475"/>
      <c r="F364" s="475"/>
    </row>
    <row r="365" spans="1:6" hidden="1" x14ac:dyDescent="0.35">
      <c r="A365" s="475"/>
      <c r="B365" s="475"/>
      <c r="C365" s="551"/>
      <c r="D365" s="549"/>
      <c r="E365" s="475"/>
      <c r="F365" s="475"/>
    </row>
    <row r="366" spans="1:6" hidden="1" x14ac:dyDescent="0.35">
      <c r="A366" s="475"/>
      <c r="B366" s="475"/>
      <c r="C366" s="551"/>
      <c r="D366" s="549"/>
      <c r="E366" s="475"/>
      <c r="F366" s="475"/>
    </row>
    <row r="367" spans="1:6" hidden="1" x14ac:dyDescent="0.35">
      <c r="A367" s="475"/>
      <c r="B367" s="475"/>
      <c r="C367" s="549"/>
      <c r="D367" s="549"/>
      <c r="E367" s="475"/>
      <c r="F367" s="475"/>
    </row>
    <row r="368" spans="1:6" hidden="1" x14ac:dyDescent="0.35">
      <c r="A368" s="475"/>
      <c r="B368" s="475"/>
      <c r="C368" s="549"/>
      <c r="D368" s="549"/>
      <c r="E368" s="475"/>
      <c r="F368" s="475"/>
    </row>
    <row r="369" spans="1:6" hidden="1" x14ac:dyDescent="0.35">
      <c r="A369" s="475"/>
      <c r="B369" s="475"/>
      <c r="C369" s="549"/>
      <c r="D369" s="549"/>
      <c r="E369" s="475"/>
      <c r="F369" s="475"/>
    </row>
    <row r="370" spans="1:6" hidden="1" x14ac:dyDescent="0.35">
      <c r="A370" s="475"/>
      <c r="B370" s="475"/>
      <c r="C370" s="549"/>
      <c r="D370" s="549"/>
      <c r="E370" s="475"/>
      <c r="F370" s="475"/>
    </row>
    <row r="371" spans="1:6" hidden="1" x14ac:dyDescent="0.35">
      <c r="A371" s="475"/>
      <c r="B371" s="475"/>
      <c r="C371" s="549"/>
      <c r="D371" s="549"/>
      <c r="E371" s="475"/>
      <c r="F371" s="475"/>
    </row>
    <row r="372" spans="1:6" hidden="1" x14ac:dyDescent="0.35">
      <c r="A372" s="475"/>
      <c r="B372" s="475"/>
      <c r="C372" s="549"/>
      <c r="D372" s="549"/>
      <c r="E372" s="475"/>
      <c r="F372" s="475"/>
    </row>
    <row r="373" spans="1:6" hidden="1" x14ac:dyDescent="0.35">
      <c r="A373" s="475"/>
      <c r="B373" s="475"/>
      <c r="C373" s="549"/>
      <c r="D373" s="549"/>
      <c r="E373" s="475"/>
      <c r="F373" s="475"/>
    </row>
    <row r="374" spans="1:6" hidden="1" x14ac:dyDescent="0.35">
      <c r="A374" s="475"/>
      <c r="B374" s="475"/>
      <c r="C374" s="549"/>
      <c r="D374" s="549"/>
      <c r="E374" s="475"/>
      <c r="F374" s="475"/>
    </row>
    <row r="375" spans="1:6" hidden="1" x14ac:dyDescent="0.35">
      <c r="A375" s="475"/>
      <c r="B375" s="475"/>
      <c r="C375" s="549"/>
      <c r="D375" s="549"/>
      <c r="E375" s="475"/>
      <c r="F375" s="475"/>
    </row>
    <row r="376" spans="1:6" hidden="1" x14ac:dyDescent="0.35">
      <c r="A376" s="475"/>
      <c r="B376" s="475"/>
      <c r="C376" s="549"/>
      <c r="D376" s="549"/>
      <c r="E376" s="475"/>
      <c r="F376" s="475"/>
    </row>
    <row r="377" spans="1:6" hidden="1" x14ac:dyDescent="0.35">
      <c r="A377" s="475"/>
      <c r="B377" s="475"/>
      <c r="C377" s="549"/>
      <c r="D377" s="549"/>
      <c r="E377" s="475"/>
      <c r="F377" s="475"/>
    </row>
    <row r="378" spans="1:6" hidden="1" x14ac:dyDescent="0.35">
      <c r="A378" s="475"/>
      <c r="B378" s="475"/>
      <c r="C378" s="549"/>
      <c r="D378" s="549"/>
      <c r="E378" s="475"/>
      <c r="F378" s="475"/>
    </row>
    <row r="379" spans="1:6" hidden="1" x14ac:dyDescent="0.35">
      <c r="A379" s="475"/>
      <c r="B379" s="475"/>
      <c r="C379" s="551"/>
      <c r="D379" s="551"/>
      <c r="E379" s="475"/>
      <c r="F379" s="475"/>
    </row>
    <row r="380" spans="1:6" hidden="1" x14ac:dyDescent="0.35">
      <c r="A380" s="475"/>
      <c r="B380" s="475"/>
      <c r="C380" s="549"/>
      <c r="D380" s="549"/>
      <c r="E380" s="475"/>
      <c r="F380" s="475"/>
    </row>
    <row r="381" spans="1:6" hidden="1" x14ac:dyDescent="0.35">
      <c r="A381" s="475"/>
      <c r="B381" s="475"/>
      <c r="C381" s="549"/>
      <c r="D381" s="549"/>
      <c r="E381" s="475"/>
      <c r="F381" s="475"/>
    </row>
    <row r="382" spans="1:6" hidden="1" x14ac:dyDescent="0.35">
      <c r="A382" s="475"/>
      <c r="B382" s="475"/>
      <c r="C382" s="549"/>
      <c r="D382" s="549"/>
      <c r="E382" s="475"/>
      <c r="F382" s="475"/>
    </row>
    <row r="383" spans="1:6" hidden="1" x14ac:dyDescent="0.35">
      <c r="A383" s="475"/>
      <c r="B383" s="475"/>
      <c r="C383" s="549"/>
      <c r="D383" s="549"/>
      <c r="E383" s="475"/>
      <c r="F383" s="475"/>
    </row>
    <row r="384" spans="1:6" hidden="1" x14ac:dyDescent="0.35">
      <c r="A384" s="475"/>
      <c r="B384" s="475"/>
      <c r="C384" s="549"/>
      <c r="D384" s="549"/>
      <c r="E384" s="475"/>
      <c r="F384" s="475"/>
    </row>
    <row r="385" spans="1:6" hidden="1" x14ac:dyDescent="0.35">
      <c r="A385" s="475"/>
      <c r="B385" s="475"/>
      <c r="C385" s="549"/>
      <c r="D385" s="549"/>
      <c r="E385" s="475"/>
      <c r="F385" s="475"/>
    </row>
    <row r="386" spans="1:6" hidden="1" x14ac:dyDescent="0.35">
      <c r="A386" s="475"/>
      <c r="B386" s="475"/>
      <c r="C386" s="551"/>
      <c r="D386" s="549"/>
      <c r="E386" s="475"/>
      <c r="F386" s="475"/>
    </row>
    <row r="387" spans="1:6" hidden="1" x14ac:dyDescent="0.35">
      <c r="A387" s="475"/>
      <c r="B387" s="475"/>
      <c r="C387" s="549"/>
      <c r="D387" s="549"/>
      <c r="E387" s="475"/>
      <c r="F387" s="475"/>
    </row>
    <row r="388" spans="1:6" hidden="1" x14ac:dyDescent="0.35">
      <c r="A388" s="475"/>
      <c r="B388" s="475"/>
      <c r="C388" s="549"/>
      <c r="D388" s="549"/>
      <c r="E388" s="475"/>
      <c r="F388" s="475"/>
    </row>
    <row r="389" spans="1:6" hidden="1" x14ac:dyDescent="0.35">
      <c r="A389" s="475"/>
      <c r="B389" s="475"/>
      <c r="C389" s="551"/>
      <c r="D389" s="549"/>
      <c r="E389" s="475"/>
      <c r="F389" s="475"/>
    </row>
    <row r="390" spans="1:6" hidden="1" x14ac:dyDescent="0.35">
      <c r="A390" s="475"/>
      <c r="B390" s="475"/>
      <c r="C390" s="549"/>
      <c r="D390" s="549"/>
      <c r="E390" s="475"/>
      <c r="F390" s="475"/>
    </row>
    <row r="391" spans="1:6" hidden="1" x14ac:dyDescent="0.35">
      <c r="A391" s="475"/>
      <c r="B391" s="475"/>
      <c r="C391" s="549"/>
      <c r="D391" s="549"/>
      <c r="E391" s="475"/>
      <c r="F391" s="475"/>
    </row>
    <row r="392" spans="1:6" hidden="1" x14ac:dyDescent="0.35">
      <c r="A392" s="475"/>
      <c r="B392" s="475"/>
      <c r="C392" s="551"/>
      <c r="D392" s="549"/>
      <c r="E392" s="475"/>
      <c r="F392" s="475"/>
    </row>
    <row r="393" spans="1:6" hidden="1" x14ac:dyDescent="0.35">
      <c r="A393" s="475"/>
      <c r="B393" s="475"/>
      <c r="C393" s="551"/>
      <c r="D393" s="549"/>
      <c r="E393" s="475"/>
      <c r="F393" s="475"/>
    </row>
    <row r="394" spans="1:6" hidden="1" x14ac:dyDescent="0.35">
      <c r="A394" s="475"/>
      <c r="B394" s="475"/>
      <c r="C394" s="549"/>
      <c r="D394" s="549"/>
      <c r="E394" s="475"/>
      <c r="F394" s="475"/>
    </row>
    <row r="395" spans="1:6" hidden="1" x14ac:dyDescent="0.35">
      <c r="A395" s="475"/>
      <c r="B395" s="475"/>
      <c r="C395" s="549"/>
      <c r="D395" s="549"/>
      <c r="E395" s="475"/>
      <c r="F395" s="475"/>
    </row>
    <row r="396" spans="1:6" hidden="1" x14ac:dyDescent="0.35">
      <c r="A396" s="475"/>
      <c r="B396" s="475"/>
      <c r="C396" s="549"/>
      <c r="D396" s="549"/>
      <c r="E396" s="475"/>
      <c r="F396" s="475"/>
    </row>
    <row r="397" spans="1:6" hidden="1" x14ac:dyDescent="0.35">
      <c r="A397" s="475"/>
      <c r="B397" s="475"/>
      <c r="C397" s="549"/>
      <c r="D397" s="549"/>
      <c r="E397" s="475"/>
      <c r="F397" s="475"/>
    </row>
    <row r="398" spans="1:6" hidden="1" x14ac:dyDescent="0.35">
      <c r="A398" s="475"/>
      <c r="B398" s="475"/>
      <c r="C398" s="549"/>
      <c r="D398" s="549"/>
      <c r="E398" s="475"/>
      <c r="F398" s="475"/>
    </row>
    <row r="399" spans="1:6" hidden="1" x14ac:dyDescent="0.35">
      <c r="A399" s="475"/>
      <c r="B399" s="475"/>
      <c r="C399" s="549"/>
      <c r="D399" s="549"/>
      <c r="E399" s="475"/>
      <c r="F399" s="475"/>
    </row>
    <row r="400" spans="1:6" hidden="1" x14ac:dyDescent="0.35">
      <c r="A400" s="475"/>
      <c r="B400" s="475"/>
      <c r="C400" s="549"/>
      <c r="D400" s="549"/>
      <c r="E400" s="475"/>
      <c r="F400" s="475"/>
    </row>
    <row r="401" spans="1:6" hidden="1" x14ac:dyDescent="0.35">
      <c r="A401" s="475"/>
      <c r="B401" s="475"/>
      <c r="C401" s="549"/>
      <c r="D401" s="549"/>
      <c r="E401" s="475"/>
      <c r="F401" s="475"/>
    </row>
    <row r="402" spans="1:6" hidden="1" x14ac:dyDescent="0.35">
      <c r="A402" s="475"/>
      <c r="B402" s="475"/>
      <c r="C402" s="549"/>
      <c r="D402" s="549"/>
      <c r="E402" s="475"/>
      <c r="F402" s="475"/>
    </row>
    <row r="403" spans="1:6" hidden="1" x14ac:dyDescent="0.35">
      <c r="A403" s="475"/>
      <c r="B403" s="475"/>
      <c r="C403" s="549"/>
      <c r="D403" s="549"/>
      <c r="E403" s="475"/>
      <c r="F403" s="475"/>
    </row>
    <row r="404" spans="1:6" hidden="1" x14ac:dyDescent="0.35">
      <c r="A404" s="475"/>
      <c r="B404" s="475"/>
      <c r="C404" s="549"/>
      <c r="D404" s="549"/>
      <c r="E404" s="475"/>
      <c r="F404" s="475"/>
    </row>
    <row r="405" spans="1:6" hidden="1" x14ac:dyDescent="0.35">
      <c r="A405" s="475"/>
      <c r="B405" s="475"/>
      <c r="C405" s="549"/>
      <c r="D405" s="549"/>
      <c r="E405" s="475"/>
      <c r="F405" s="475"/>
    </row>
    <row r="406" spans="1:6" hidden="1" x14ac:dyDescent="0.35">
      <c r="A406" s="548"/>
      <c r="B406" s="548"/>
      <c r="C406" s="550"/>
      <c r="D406" s="550"/>
      <c r="E406" s="548"/>
      <c r="F406" s="548"/>
    </row>
    <row r="407" spans="1:6" hidden="1" x14ac:dyDescent="0.35">
      <c r="A407" s="548"/>
      <c r="B407" s="548"/>
      <c r="C407" s="551"/>
      <c r="D407" s="550"/>
      <c r="E407" s="548"/>
      <c r="F407" s="548"/>
    </row>
    <row r="408" spans="1:6" hidden="1" x14ac:dyDescent="0.35">
      <c r="A408" s="548"/>
      <c r="B408" s="548"/>
      <c r="C408" s="550"/>
      <c r="D408" s="550"/>
      <c r="E408" s="548"/>
      <c r="F408" s="548"/>
    </row>
    <row r="409" spans="1:6" hidden="1" x14ac:dyDescent="0.35">
      <c r="A409" s="548"/>
      <c r="B409" s="548"/>
      <c r="C409" s="550"/>
      <c r="D409" s="550"/>
      <c r="E409" s="548"/>
      <c r="F409" s="548"/>
    </row>
    <row r="410" spans="1:6" hidden="1" x14ac:dyDescent="0.35">
      <c r="A410" s="548"/>
      <c r="B410" s="548"/>
      <c r="C410" s="550"/>
      <c r="D410" s="550"/>
      <c r="E410" s="548"/>
      <c r="F410" s="548"/>
    </row>
    <row r="411" spans="1:6" hidden="1" x14ac:dyDescent="0.35">
      <c r="A411" s="548"/>
      <c r="B411" s="548"/>
      <c r="C411" s="550"/>
      <c r="D411" s="550"/>
      <c r="E411" s="548"/>
      <c r="F411" s="548"/>
    </row>
    <row r="412" spans="1:6" hidden="1" x14ac:dyDescent="0.35">
      <c r="A412" s="548"/>
      <c r="B412" s="548"/>
      <c r="C412" s="550"/>
      <c r="D412" s="550"/>
      <c r="E412" s="548"/>
      <c r="F412" s="548"/>
    </row>
    <row r="413" spans="1:6" hidden="1" x14ac:dyDescent="0.35">
      <c r="A413" s="548"/>
      <c r="B413" s="548"/>
      <c r="C413" s="551"/>
      <c r="D413" s="550"/>
      <c r="E413" s="548"/>
      <c r="F413" s="548"/>
    </row>
    <row r="414" spans="1:6" hidden="1" x14ac:dyDescent="0.35">
      <c r="A414" s="548"/>
      <c r="B414" s="548"/>
      <c r="C414" s="550"/>
      <c r="D414" s="550"/>
      <c r="E414" s="548"/>
      <c r="F414" s="548"/>
    </row>
    <row r="415" spans="1:6" hidden="1" x14ac:dyDescent="0.35">
      <c r="A415" s="548"/>
      <c r="B415" s="548"/>
      <c r="C415" s="550"/>
      <c r="D415" s="550"/>
      <c r="E415" s="548"/>
      <c r="F415" s="548"/>
    </row>
    <row r="416" spans="1:6" hidden="1" x14ac:dyDescent="0.35">
      <c r="A416" s="548"/>
      <c r="B416" s="548"/>
      <c r="C416" s="550"/>
      <c r="D416" s="550"/>
      <c r="E416" s="548"/>
      <c r="F416" s="548"/>
    </row>
    <row r="417" spans="1:6" hidden="1" x14ac:dyDescent="0.35">
      <c r="A417" s="548"/>
      <c r="B417" s="548"/>
      <c r="C417" s="551"/>
      <c r="D417" s="550"/>
      <c r="E417" s="548"/>
      <c r="F417" s="548"/>
    </row>
    <row r="418" spans="1:6" hidden="1" x14ac:dyDescent="0.35">
      <c r="A418" s="548"/>
      <c r="B418" s="548"/>
      <c r="C418" s="550"/>
      <c r="D418" s="550"/>
      <c r="E418" s="548"/>
      <c r="F418" s="548"/>
    </row>
    <row r="419" spans="1:6" hidden="1" x14ac:dyDescent="0.35">
      <c r="A419" s="548"/>
      <c r="B419" s="548"/>
      <c r="C419" s="551"/>
      <c r="D419" s="550"/>
      <c r="E419" s="548"/>
      <c r="F419" s="548"/>
    </row>
    <row r="420" spans="1:6" hidden="1" x14ac:dyDescent="0.35">
      <c r="A420" s="548"/>
      <c r="B420" s="548"/>
      <c r="C420" s="550"/>
      <c r="D420" s="550"/>
      <c r="E420" s="548"/>
      <c r="F420" s="548"/>
    </row>
    <row r="421" spans="1:6" hidden="1" x14ac:dyDescent="0.35">
      <c r="A421" s="548"/>
      <c r="B421" s="548"/>
      <c r="C421" s="551"/>
      <c r="D421" s="550"/>
      <c r="E421" s="548"/>
      <c r="F421" s="548"/>
    </row>
    <row r="422" spans="1:6" hidden="1" x14ac:dyDescent="0.35">
      <c r="A422" s="548"/>
      <c r="B422" s="548"/>
      <c r="C422" s="551"/>
      <c r="D422" s="550"/>
      <c r="E422" s="548"/>
      <c r="F422" s="548"/>
    </row>
    <row r="423" spans="1:6" hidden="1" x14ac:dyDescent="0.35">
      <c r="A423" s="548"/>
      <c r="B423" s="548"/>
      <c r="C423" s="550"/>
      <c r="D423" s="550"/>
      <c r="E423" s="548"/>
      <c r="F423" s="548"/>
    </row>
    <row r="424" spans="1:6" hidden="1" x14ac:dyDescent="0.35">
      <c r="A424" s="548"/>
      <c r="B424" s="548"/>
      <c r="C424" s="550"/>
      <c r="D424" s="550"/>
      <c r="E424" s="548"/>
      <c r="F424" s="548"/>
    </row>
    <row r="425" spans="1:6" hidden="1" x14ac:dyDescent="0.35">
      <c r="A425" s="548"/>
      <c r="B425" s="548"/>
      <c r="C425" s="550"/>
      <c r="D425" s="550"/>
      <c r="E425" s="548"/>
      <c r="F425" s="548"/>
    </row>
    <row r="426" spans="1:6" hidden="1" x14ac:dyDescent="0.35">
      <c r="A426" s="548"/>
      <c r="B426" s="548"/>
      <c r="C426" s="551"/>
      <c r="D426" s="550"/>
      <c r="E426" s="548"/>
      <c r="F426" s="548"/>
    </row>
    <row r="427" spans="1:6" hidden="1" x14ac:dyDescent="0.35">
      <c r="A427" s="548"/>
      <c r="B427" s="548"/>
      <c r="C427" s="551"/>
      <c r="D427" s="550"/>
      <c r="E427" s="548"/>
      <c r="F427" s="548"/>
    </row>
    <row r="428" spans="1:6" hidden="1" x14ac:dyDescent="0.35">
      <c r="A428" s="548"/>
      <c r="B428" s="548"/>
      <c r="C428" s="550"/>
      <c r="D428" s="550"/>
      <c r="E428" s="548"/>
      <c r="F428" s="548"/>
    </row>
    <row r="429" spans="1:6" hidden="1" x14ac:dyDescent="0.35">
      <c r="A429" s="548"/>
      <c r="B429" s="548"/>
      <c r="C429" s="551"/>
      <c r="D429" s="550"/>
      <c r="E429" s="548"/>
      <c r="F429" s="548"/>
    </row>
    <row r="430" spans="1:6" hidden="1" x14ac:dyDescent="0.35">
      <c r="A430" s="548"/>
      <c r="B430" s="548"/>
      <c r="C430" s="551"/>
      <c r="D430" s="550"/>
      <c r="E430" s="548"/>
      <c r="F430" s="548"/>
    </row>
    <row r="431" spans="1:6" hidden="1" x14ac:dyDescent="0.35">
      <c r="A431" s="548"/>
      <c r="B431" s="548"/>
      <c r="C431" s="551"/>
      <c r="D431" s="550"/>
      <c r="E431" s="548"/>
      <c r="F431" s="548"/>
    </row>
    <row r="432" spans="1:6" hidden="1" x14ac:dyDescent="0.35">
      <c r="A432" s="548"/>
      <c r="B432" s="548"/>
      <c r="C432" s="550"/>
      <c r="D432" s="550"/>
      <c r="E432" s="548"/>
      <c r="F432" s="548"/>
    </row>
    <row r="433" spans="1:6" hidden="1" x14ac:dyDescent="0.35">
      <c r="A433" s="548"/>
      <c r="B433" s="548"/>
      <c r="C433" s="551"/>
      <c r="D433" s="550"/>
      <c r="E433" s="548"/>
      <c r="F433" s="548"/>
    </row>
    <row r="434" spans="1:6" hidden="1" x14ac:dyDescent="0.35">
      <c r="A434" s="548"/>
      <c r="B434" s="548"/>
      <c r="C434" s="550"/>
      <c r="D434" s="550"/>
      <c r="E434" s="548"/>
      <c r="F434" s="548"/>
    </row>
    <row r="435" spans="1:6" hidden="1" x14ac:dyDescent="0.35">
      <c r="A435" s="548"/>
      <c r="B435" s="548"/>
      <c r="C435" s="551"/>
      <c r="D435" s="550"/>
      <c r="E435" s="548"/>
      <c r="F435" s="548"/>
    </row>
    <row r="436" spans="1:6" hidden="1" x14ac:dyDescent="0.35">
      <c r="A436" s="548"/>
      <c r="B436" s="548"/>
      <c r="C436" s="551"/>
      <c r="D436" s="550"/>
      <c r="E436" s="548"/>
      <c r="F436" s="548"/>
    </row>
    <row r="437" spans="1:6" hidden="1" x14ac:dyDescent="0.35">
      <c r="A437" s="548"/>
      <c r="B437" s="548"/>
      <c r="C437" s="550"/>
      <c r="D437" s="550"/>
      <c r="E437" s="548"/>
      <c r="F437" s="548"/>
    </row>
    <row r="438" spans="1:6" hidden="1" x14ac:dyDescent="0.35">
      <c r="A438" s="548"/>
      <c r="B438" s="548"/>
      <c r="C438" s="550"/>
      <c r="D438" s="550"/>
      <c r="E438" s="548"/>
      <c r="F438" s="548"/>
    </row>
    <row r="439" spans="1:6" hidden="1" x14ac:dyDescent="0.35">
      <c r="A439" s="548"/>
      <c r="B439" s="548"/>
      <c r="C439" s="550"/>
      <c r="D439" s="550"/>
      <c r="E439" s="548"/>
      <c r="F439" s="548"/>
    </row>
    <row r="440" spans="1:6" hidden="1" x14ac:dyDescent="0.35">
      <c r="A440" s="548"/>
      <c r="B440" s="548"/>
      <c r="C440" s="550"/>
      <c r="D440" s="550"/>
      <c r="E440" s="548"/>
      <c r="F440" s="548"/>
    </row>
    <row r="441" spans="1:6" hidden="1" x14ac:dyDescent="0.35">
      <c r="A441" s="548"/>
      <c r="B441" s="548"/>
      <c r="C441" s="550"/>
      <c r="D441" s="550"/>
      <c r="E441" s="548"/>
      <c r="F441" s="548"/>
    </row>
    <row r="442" spans="1:6" hidden="1" x14ac:dyDescent="0.35">
      <c r="A442" s="548"/>
      <c r="B442" s="548"/>
      <c r="C442" s="550"/>
      <c r="D442" s="550"/>
      <c r="E442" s="548"/>
      <c r="F442" s="548"/>
    </row>
    <row r="443" spans="1:6" hidden="1" x14ac:dyDescent="0.35">
      <c r="A443" s="548"/>
      <c r="B443" s="548"/>
      <c r="C443" s="550"/>
      <c r="D443" s="550"/>
      <c r="E443" s="548"/>
      <c r="F443" s="548"/>
    </row>
    <row r="444" spans="1:6" hidden="1" x14ac:dyDescent="0.35">
      <c r="A444" s="548"/>
      <c r="B444" s="548"/>
      <c r="C444" s="550"/>
      <c r="D444" s="550"/>
      <c r="E444" s="548"/>
      <c r="F444" s="548"/>
    </row>
    <row r="445" spans="1:6" hidden="1" x14ac:dyDescent="0.35">
      <c r="A445" s="548"/>
      <c r="B445" s="548"/>
      <c r="C445" s="550"/>
      <c r="D445" s="550"/>
      <c r="E445" s="548"/>
      <c r="F445" s="548"/>
    </row>
    <row r="446" spans="1:6" hidden="1" x14ac:dyDescent="0.35">
      <c r="A446" s="548"/>
      <c r="B446" s="548"/>
      <c r="C446" s="550"/>
      <c r="D446" s="550"/>
      <c r="E446" s="548"/>
      <c r="F446" s="548"/>
    </row>
    <row r="447" spans="1:6" hidden="1" x14ac:dyDescent="0.35">
      <c r="A447" s="548"/>
      <c r="B447" s="548"/>
      <c r="C447" s="550"/>
      <c r="D447" s="550"/>
      <c r="E447" s="548"/>
      <c r="F447" s="548"/>
    </row>
    <row r="448" spans="1:6" hidden="1" x14ac:dyDescent="0.35">
      <c r="A448" s="548"/>
      <c r="B448" s="548"/>
      <c r="C448" s="550"/>
      <c r="D448" s="550"/>
      <c r="E448" s="548"/>
      <c r="F448" s="548"/>
    </row>
    <row r="449" spans="1:6" hidden="1" x14ac:dyDescent="0.35">
      <c r="A449" s="548"/>
      <c r="B449" s="548"/>
      <c r="C449" s="551"/>
      <c r="D449" s="550"/>
      <c r="E449" s="548"/>
      <c r="F449" s="548"/>
    </row>
    <row r="450" spans="1:6" hidden="1" x14ac:dyDescent="0.35">
      <c r="A450" s="548"/>
      <c r="B450" s="548"/>
      <c r="C450" s="550"/>
      <c r="D450" s="550"/>
      <c r="E450" s="548"/>
      <c r="F450" s="548"/>
    </row>
    <row r="451" spans="1:6" hidden="1" x14ac:dyDescent="0.35">
      <c r="A451" s="551"/>
      <c r="B451" s="551"/>
      <c r="C451" s="551"/>
      <c r="D451" s="551"/>
      <c r="E451" s="551"/>
      <c r="F451" s="548" t="s">
        <v>1769</v>
      </c>
    </row>
    <row r="452" spans="1:6" hidden="1" x14ac:dyDescent="0.35">
      <c r="A452" s="548" t="s">
        <v>1708</v>
      </c>
      <c r="B452" s="548" t="s">
        <v>1709</v>
      </c>
      <c r="C452" s="550">
        <v>46025.25</v>
      </c>
      <c r="D452" s="550">
        <v>46025.575694444444</v>
      </c>
      <c r="E452" s="548" t="s">
        <v>1710</v>
      </c>
      <c r="F452" s="548" t="s">
        <v>1769</v>
      </c>
    </row>
    <row r="453" spans="1:6" hidden="1" x14ac:dyDescent="0.35">
      <c r="A453" s="548" t="s">
        <v>1708</v>
      </c>
      <c r="B453" s="548" t="s">
        <v>1709</v>
      </c>
      <c r="C453" s="550">
        <v>46027.322222222225</v>
      </c>
      <c r="D453" s="550">
        <v>46027.481249999997</v>
      </c>
      <c r="E453" s="548" t="s">
        <v>1711</v>
      </c>
      <c r="F453" s="548" t="s">
        <v>1769</v>
      </c>
    </row>
    <row r="454" spans="1:6" hidden="1" x14ac:dyDescent="0.35">
      <c r="A454" s="548" t="s">
        <v>1708</v>
      </c>
      <c r="B454" s="548" t="s">
        <v>1709</v>
      </c>
      <c r="C454" s="550">
        <v>46027.493055555555</v>
      </c>
      <c r="D454" s="550">
        <v>46027.698611111111</v>
      </c>
      <c r="E454" s="548" t="s">
        <v>1712</v>
      </c>
      <c r="F454" s="548" t="s">
        <v>1769</v>
      </c>
    </row>
    <row r="455" spans="1:6" hidden="1" x14ac:dyDescent="0.35">
      <c r="A455" s="548" t="s">
        <v>1708</v>
      </c>
      <c r="B455" s="548" t="s">
        <v>1709</v>
      </c>
      <c r="C455" s="550">
        <v>46028.321527777778</v>
      </c>
      <c r="D455" s="550">
        <v>46028.698611111111</v>
      </c>
      <c r="E455" s="548" t="s">
        <v>1651</v>
      </c>
      <c r="F455" s="548" t="s">
        <v>1769</v>
      </c>
    </row>
    <row r="456" spans="1:6" hidden="1" x14ac:dyDescent="0.35">
      <c r="A456" s="548" t="s">
        <v>1708</v>
      </c>
      <c r="B456" s="548" t="s">
        <v>1709</v>
      </c>
      <c r="C456" s="551"/>
      <c r="D456" s="551"/>
      <c r="E456" s="548" t="s">
        <v>1645</v>
      </c>
      <c r="F456" s="548" t="s">
        <v>1769</v>
      </c>
    </row>
    <row r="457" spans="1:6" hidden="1" x14ac:dyDescent="0.35">
      <c r="A457" s="548" t="s">
        <v>1708</v>
      </c>
      <c r="B457" s="548" t="s">
        <v>1709</v>
      </c>
      <c r="C457" s="550">
        <v>46030.242361111108</v>
      </c>
      <c r="D457" s="550">
        <v>46030.696527777778</v>
      </c>
      <c r="E457" s="548" t="s">
        <v>1651</v>
      </c>
      <c r="F457" s="548" t="s">
        <v>1769</v>
      </c>
    </row>
    <row r="458" spans="1:6" hidden="1" x14ac:dyDescent="0.35">
      <c r="A458" s="548" t="s">
        <v>1708</v>
      </c>
      <c r="B458" s="548" t="s">
        <v>1709</v>
      </c>
      <c r="C458" s="550">
        <v>46031.242361111108</v>
      </c>
      <c r="D458" s="550">
        <v>46031.415972222225</v>
      </c>
      <c r="E458" s="548" t="s">
        <v>1713</v>
      </c>
      <c r="F458" s="548" t="s">
        <v>1769</v>
      </c>
    </row>
    <row r="459" spans="1:6" hidden="1" x14ac:dyDescent="0.35">
      <c r="A459" s="548" t="s">
        <v>1708</v>
      </c>
      <c r="B459" s="548" t="s">
        <v>1709</v>
      </c>
      <c r="C459" s="550">
        <v>46031.431944444441</v>
      </c>
      <c r="D459" s="550">
        <v>46031.574999999997</v>
      </c>
      <c r="E459" s="548" t="s">
        <v>1714</v>
      </c>
      <c r="F459" s="548" t="s">
        <v>1769</v>
      </c>
    </row>
    <row r="460" spans="1:6" hidden="1" x14ac:dyDescent="0.35">
      <c r="A460" s="548" t="s">
        <v>1708</v>
      </c>
      <c r="B460" s="548" t="s">
        <v>1709</v>
      </c>
      <c r="C460" s="550">
        <v>46032.256249999999</v>
      </c>
      <c r="D460" s="550">
        <v>46032.581944444442</v>
      </c>
      <c r="E460" s="548" t="s">
        <v>1710</v>
      </c>
      <c r="F460" s="548" t="s">
        <v>1769</v>
      </c>
    </row>
    <row r="461" spans="1:6" hidden="1" x14ac:dyDescent="0.35">
      <c r="A461" s="548" t="s">
        <v>1708</v>
      </c>
      <c r="B461" s="548" t="s">
        <v>1709</v>
      </c>
      <c r="C461" s="550">
        <v>46034.317361111112</v>
      </c>
      <c r="D461" s="550">
        <v>46034.601388888892</v>
      </c>
      <c r="E461" s="548" t="s">
        <v>1715</v>
      </c>
      <c r="F461" s="548" t="s">
        <v>1769</v>
      </c>
    </row>
    <row r="462" spans="1:6" hidden="1" x14ac:dyDescent="0.35">
      <c r="A462" s="548" t="s">
        <v>1708</v>
      </c>
      <c r="B462" s="548" t="s">
        <v>1709</v>
      </c>
      <c r="C462" s="550">
        <v>46034.62777777778</v>
      </c>
      <c r="D462" s="550">
        <v>46034.696527777778</v>
      </c>
      <c r="E462" s="548" t="s">
        <v>1658</v>
      </c>
      <c r="F462" s="548" t="s">
        <v>1769</v>
      </c>
    </row>
    <row r="463" spans="1:6" hidden="1" x14ac:dyDescent="0.35">
      <c r="A463" s="548" t="s">
        <v>1708</v>
      </c>
      <c r="B463" s="548" t="s">
        <v>1709</v>
      </c>
      <c r="C463" s="550">
        <v>46035.320833333331</v>
      </c>
      <c r="D463" s="550">
        <v>46035.696527777778</v>
      </c>
      <c r="E463" s="548" t="s">
        <v>1651</v>
      </c>
      <c r="F463" s="548" t="s">
        <v>1769</v>
      </c>
    </row>
    <row r="464" spans="1:6" hidden="1" x14ac:dyDescent="0.35">
      <c r="A464" s="548" t="s">
        <v>1708</v>
      </c>
      <c r="B464" s="548" t="s">
        <v>1709</v>
      </c>
      <c r="C464" s="550">
        <v>46036.318749999999</v>
      </c>
      <c r="D464" s="550">
        <v>46036.373611111114</v>
      </c>
      <c r="E464" s="548" t="s">
        <v>1675</v>
      </c>
      <c r="F464" s="548" t="s">
        <v>1769</v>
      </c>
    </row>
    <row r="465" spans="1:6" hidden="1" x14ac:dyDescent="0.35">
      <c r="A465" s="548" t="s">
        <v>1708</v>
      </c>
      <c r="B465" s="548" t="s">
        <v>1709</v>
      </c>
      <c r="C465" s="550">
        <v>46036.467361111114</v>
      </c>
      <c r="D465" s="550">
        <v>46036.706944444442</v>
      </c>
      <c r="E465" s="548" t="s">
        <v>1716</v>
      </c>
      <c r="F465" s="548" t="s">
        <v>1769</v>
      </c>
    </row>
    <row r="466" spans="1:6" hidden="1" x14ac:dyDescent="0.35">
      <c r="A466" s="548" t="s">
        <v>1708</v>
      </c>
      <c r="B466" s="548" t="s">
        <v>1709</v>
      </c>
      <c r="C466" s="550">
        <v>46037.318055555559</v>
      </c>
      <c r="D466" s="550">
        <v>46037.70208333333</v>
      </c>
      <c r="E466" s="548" t="s">
        <v>1651</v>
      </c>
      <c r="F466" s="548" t="s">
        <v>1769</v>
      </c>
    </row>
    <row r="467" spans="1:6" hidden="1" x14ac:dyDescent="0.35">
      <c r="A467" s="548" t="s">
        <v>1708</v>
      </c>
      <c r="B467" s="548" t="s">
        <v>1709</v>
      </c>
      <c r="C467" s="550">
        <v>46038.236805555556</v>
      </c>
      <c r="D467" s="550">
        <v>46038.572222222225</v>
      </c>
      <c r="E467" s="548" t="s">
        <v>1651</v>
      </c>
      <c r="F467" s="548" t="s">
        <v>1769</v>
      </c>
    </row>
    <row r="468" spans="1:6" hidden="1" x14ac:dyDescent="0.35">
      <c r="A468" s="548" t="s">
        <v>1708</v>
      </c>
      <c r="B468" s="548" t="s">
        <v>1709</v>
      </c>
      <c r="C468" s="550">
        <v>46041.316666666666</v>
      </c>
      <c r="D468" s="550">
        <v>46041.488888888889</v>
      </c>
      <c r="E468" s="548" t="s">
        <v>1717</v>
      </c>
      <c r="F468" s="548" t="s">
        <v>1769</v>
      </c>
    </row>
    <row r="469" spans="1:6" hidden="1" x14ac:dyDescent="0.35">
      <c r="A469" s="548" t="s">
        <v>1708</v>
      </c>
      <c r="B469" s="548" t="s">
        <v>1709</v>
      </c>
      <c r="C469" s="550">
        <v>46041.500694444447</v>
      </c>
      <c r="D469" s="550">
        <v>46041.696527777778</v>
      </c>
      <c r="E469" s="548" t="s">
        <v>1691</v>
      </c>
      <c r="F469" s="548" t="s">
        <v>1769</v>
      </c>
    </row>
    <row r="470" spans="1:6" hidden="1" x14ac:dyDescent="0.35">
      <c r="A470" s="548" t="s">
        <v>1708</v>
      </c>
      <c r="B470" s="548" t="s">
        <v>1709</v>
      </c>
      <c r="C470" s="551"/>
      <c r="D470" s="551"/>
      <c r="E470" s="548" t="s">
        <v>1645</v>
      </c>
      <c r="F470" s="548" t="s">
        <v>1769</v>
      </c>
    </row>
    <row r="471" spans="1:6" hidden="1" x14ac:dyDescent="0.35">
      <c r="A471" s="548" t="s">
        <v>1708</v>
      </c>
      <c r="B471" s="548" t="s">
        <v>1709</v>
      </c>
      <c r="C471" s="551"/>
      <c r="D471" s="551"/>
      <c r="E471" s="548" t="s">
        <v>1645</v>
      </c>
      <c r="F471" s="548" t="s">
        <v>1769</v>
      </c>
    </row>
    <row r="472" spans="1:6" hidden="1" x14ac:dyDescent="0.35">
      <c r="A472" s="548" t="s">
        <v>1708</v>
      </c>
      <c r="B472" s="548" t="s">
        <v>1709</v>
      </c>
      <c r="C472" s="550">
        <v>46048.320833333331</v>
      </c>
      <c r="D472" s="550">
        <v>46048.698611111111</v>
      </c>
      <c r="E472" s="548" t="s">
        <v>1651</v>
      </c>
      <c r="F472" s="548" t="s">
        <v>1769</v>
      </c>
    </row>
    <row r="473" spans="1:6" hidden="1" x14ac:dyDescent="0.35">
      <c r="A473" s="548" t="s">
        <v>1708</v>
      </c>
      <c r="B473" s="548" t="s">
        <v>1709</v>
      </c>
      <c r="C473" s="550">
        <v>46049.320833333331</v>
      </c>
      <c r="D473" s="550">
        <v>46049.698611111111</v>
      </c>
      <c r="E473" s="548" t="s">
        <v>1651</v>
      </c>
      <c r="F473" s="548" t="s">
        <v>1769</v>
      </c>
    </row>
    <row r="474" spans="1:6" hidden="1" x14ac:dyDescent="0.35">
      <c r="A474" s="548" t="s">
        <v>1708</v>
      </c>
      <c r="B474" s="548" t="s">
        <v>1709</v>
      </c>
      <c r="C474" s="550">
        <v>46050.320833333331</v>
      </c>
      <c r="D474" s="550">
        <v>46050.696527777778</v>
      </c>
      <c r="E474" s="548" t="s">
        <v>1651</v>
      </c>
      <c r="F474" s="548" t="s">
        <v>1769</v>
      </c>
    </row>
    <row r="475" spans="1:6" hidden="1" x14ac:dyDescent="0.35">
      <c r="A475" s="548" t="s">
        <v>1708</v>
      </c>
      <c r="B475" s="548" t="s">
        <v>1709</v>
      </c>
      <c r="C475" s="550">
        <v>46051.318749999999</v>
      </c>
      <c r="D475" s="550">
        <v>46051.693749999999</v>
      </c>
      <c r="E475" s="548" t="s">
        <v>1651</v>
      </c>
      <c r="F475" s="548" t="s">
        <v>1769</v>
      </c>
    </row>
    <row r="476" spans="1:6" hidden="1" x14ac:dyDescent="0.35">
      <c r="A476" s="548" t="s">
        <v>1708</v>
      </c>
      <c r="B476" s="548" t="s">
        <v>1709</v>
      </c>
      <c r="C476" s="550">
        <v>46052.239583333336</v>
      </c>
      <c r="D476" s="550">
        <v>46052.570138888892</v>
      </c>
      <c r="E476" s="548" t="s">
        <v>1718</v>
      </c>
      <c r="F476" s="548" t="s">
        <v>1769</v>
      </c>
    </row>
    <row r="477" spans="1:6" hidden="1" x14ac:dyDescent="0.35">
      <c r="A477" s="548" t="s">
        <v>1719</v>
      </c>
      <c r="B477" s="548" t="s">
        <v>1720</v>
      </c>
      <c r="C477" s="550">
        <v>46041.316666666666</v>
      </c>
      <c r="D477" s="550">
        <v>46041.479166666664</v>
      </c>
      <c r="E477" s="548" t="s">
        <v>1686</v>
      </c>
      <c r="F477" s="548" t="s">
        <v>1769</v>
      </c>
    </row>
    <row r="478" spans="1:6" hidden="1" x14ac:dyDescent="0.35">
      <c r="A478" s="548" t="s">
        <v>1719</v>
      </c>
      <c r="B478" s="548" t="s">
        <v>1720</v>
      </c>
      <c r="C478" s="550">
        <v>46041.48541666667</v>
      </c>
      <c r="D478" s="550">
        <v>46041.694444444445</v>
      </c>
      <c r="E478" s="548" t="s">
        <v>1721</v>
      </c>
      <c r="F478" s="548" t="s">
        <v>1769</v>
      </c>
    </row>
    <row r="479" spans="1:6" hidden="1" x14ac:dyDescent="0.35">
      <c r="A479" s="548" t="s">
        <v>1719</v>
      </c>
      <c r="B479" s="548" t="s">
        <v>1720</v>
      </c>
      <c r="C479" s="550">
        <v>46042.319444444445</v>
      </c>
      <c r="D479" s="550">
        <v>46042.477083333331</v>
      </c>
      <c r="E479" s="548" t="s">
        <v>1722</v>
      </c>
      <c r="F479" s="548" t="s">
        <v>1769</v>
      </c>
    </row>
    <row r="480" spans="1:6" hidden="1" x14ac:dyDescent="0.35">
      <c r="A480" s="548" t="s">
        <v>1719</v>
      </c>
      <c r="B480" s="548" t="s">
        <v>1720</v>
      </c>
      <c r="C480" s="550">
        <v>46042.484027777777</v>
      </c>
      <c r="D480" s="550">
        <v>46042.695138888892</v>
      </c>
      <c r="E480" s="548" t="s">
        <v>1723</v>
      </c>
      <c r="F480" s="548" t="s">
        <v>1769</v>
      </c>
    </row>
    <row r="481" spans="1:6" hidden="1" x14ac:dyDescent="0.35">
      <c r="A481" s="548" t="s">
        <v>1719</v>
      </c>
      <c r="B481" s="548" t="s">
        <v>1720</v>
      </c>
      <c r="C481" s="550">
        <v>46043.31527777778</v>
      </c>
      <c r="D481" s="550">
        <v>46043.478472222225</v>
      </c>
      <c r="E481" s="548" t="s">
        <v>1724</v>
      </c>
      <c r="F481" s="548" t="s">
        <v>1769</v>
      </c>
    </row>
    <row r="482" spans="1:6" hidden="1" x14ac:dyDescent="0.35">
      <c r="A482" s="548" t="s">
        <v>1719</v>
      </c>
      <c r="B482" s="548" t="s">
        <v>1720</v>
      </c>
      <c r="C482" s="550">
        <v>46043.48541666667</v>
      </c>
      <c r="D482" s="550">
        <v>46043.695833333331</v>
      </c>
      <c r="E482" s="548" t="s">
        <v>1725</v>
      </c>
      <c r="F482" s="548" t="s">
        <v>1769</v>
      </c>
    </row>
    <row r="483" spans="1:6" hidden="1" x14ac:dyDescent="0.35">
      <c r="A483" s="548" t="s">
        <v>1719</v>
      </c>
      <c r="B483" s="548" t="s">
        <v>1720</v>
      </c>
      <c r="C483" s="550">
        <v>46044.316666666666</v>
      </c>
      <c r="D483" s="550">
        <v>46044.481944444444</v>
      </c>
      <c r="E483" s="548" t="s">
        <v>1726</v>
      </c>
      <c r="F483" s="548" t="s">
        <v>1769</v>
      </c>
    </row>
    <row r="484" spans="1:6" hidden="1" x14ac:dyDescent="0.35">
      <c r="A484" s="548" t="s">
        <v>1719</v>
      </c>
      <c r="B484" s="548" t="s">
        <v>1720</v>
      </c>
      <c r="C484" s="550">
        <v>46044.487500000003</v>
      </c>
      <c r="D484" s="550">
        <v>46044.695138888892</v>
      </c>
      <c r="E484" s="548" t="s">
        <v>1727</v>
      </c>
      <c r="F484" s="548" t="s">
        <v>1769</v>
      </c>
    </row>
    <row r="485" spans="1:6" hidden="1" x14ac:dyDescent="0.35">
      <c r="A485" s="548" t="s">
        <v>1719</v>
      </c>
      <c r="B485" s="548" t="s">
        <v>1720</v>
      </c>
      <c r="C485" s="550">
        <v>46045.259722222225</v>
      </c>
      <c r="D485" s="550">
        <v>46045.474999999999</v>
      </c>
      <c r="E485" s="548" t="s">
        <v>1638</v>
      </c>
      <c r="F485" s="548" t="s">
        <v>1769</v>
      </c>
    </row>
    <row r="486" spans="1:6" hidden="1" x14ac:dyDescent="0.35">
      <c r="A486" s="548" t="s">
        <v>1719</v>
      </c>
      <c r="B486" s="548" t="s">
        <v>1720</v>
      </c>
      <c r="C486" s="550">
        <v>46045.484027777777</v>
      </c>
      <c r="D486" s="550">
        <v>46045.571527777778</v>
      </c>
      <c r="E486" s="548" t="s">
        <v>1728</v>
      </c>
      <c r="F486" s="548" t="s">
        <v>1769</v>
      </c>
    </row>
    <row r="487" spans="1:6" hidden="1" x14ac:dyDescent="0.35">
      <c r="A487" s="548" t="s">
        <v>1719</v>
      </c>
      <c r="B487" s="548" t="s">
        <v>1720</v>
      </c>
      <c r="C487" s="550">
        <v>46048.320833333331</v>
      </c>
      <c r="D487" s="550">
        <v>46048.477777777778</v>
      </c>
      <c r="E487" s="548" t="s">
        <v>1642</v>
      </c>
      <c r="F487" s="548" t="s">
        <v>1769</v>
      </c>
    </row>
    <row r="488" spans="1:6" hidden="1" x14ac:dyDescent="0.35">
      <c r="A488" s="548" t="s">
        <v>1719</v>
      </c>
      <c r="B488" s="548" t="s">
        <v>1720</v>
      </c>
      <c r="C488" s="550">
        <v>46048.48541666667</v>
      </c>
      <c r="D488" s="550">
        <v>46048.696527777778</v>
      </c>
      <c r="E488" s="548" t="s">
        <v>1723</v>
      </c>
      <c r="F488" s="548" t="s">
        <v>1769</v>
      </c>
    </row>
    <row r="489" spans="1:6" hidden="1" x14ac:dyDescent="0.35">
      <c r="A489" s="548" t="s">
        <v>1719</v>
      </c>
      <c r="B489" s="548" t="s">
        <v>1720</v>
      </c>
      <c r="C489" s="550">
        <v>46049.466666666667</v>
      </c>
      <c r="D489" s="550">
        <v>46049.695833333331</v>
      </c>
      <c r="E489" s="548" t="s">
        <v>1729</v>
      </c>
      <c r="F489" s="548" t="s">
        <v>1769</v>
      </c>
    </row>
    <row r="490" spans="1:6" hidden="1" x14ac:dyDescent="0.35">
      <c r="A490" s="548" t="s">
        <v>1719</v>
      </c>
      <c r="B490" s="548" t="s">
        <v>1720</v>
      </c>
      <c r="C490" s="550">
        <v>46050.320833333331</v>
      </c>
      <c r="D490" s="550">
        <v>46050.486805555556</v>
      </c>
      <c r="E490" s="548" t="s">
        <v>1730</v>
      </c>
      <c r="F490" s="548" t="s">
        <v>1769</v>
      </c>
    </row>
    <row r="491" spans="1:6" hidden="1" x14ac:dyDescent="0.35">
      <c r="A491" s="548" t="s">
        <v>1719</v>
      </c>
      <c r="B491" s="548" t="s">
        <v>1720</v>
      </c>
      <c r="C491" s="550">
        <v>46050.495138888888</v>
      </c>
      <c r="D491" s="550">
        <v>46050.643750000003</v>
      </c>
      <c r="E491" s="548" t="s">
        <v>1731</v>
      </c>
      <c r="F491" s="548" t="s">
        <v>1769</v>
      </c>
    </row>
    <row r="492" spans="1:6" hidden="1" x14ac:dyDescent="0.35">
      <c r="A492" s="548" t="s">
        <v>1719</v>
      </c>
      <c r="B492" s="548" t="s">
        <v>1720</v>
      </c>
      <c r="C492" s="550">
        <v>46051.318749999999</v>
      </c>
      <c r="D492" s="550">
        <v>46051.486111111109</v>
      </c>
      <c r="E492" s="548" t="s">
        <v>1732</v>
      </c>
      <c r="F492" s="548" t="s">
        <v>1769</v>
      </c>
    </row>
    <row r="493" spans="1:6" hidden="1" x14ac:dyDescent="0.35">
      <c r="A493" s="548" t="s">
        <v>1719</v>
      </c>
      <c r="B493" s="548" t="s">
        <v>1720</v>
      </c>
      <c r="C493" s="550">
        <v>46051.492361111108</v>
      </c>
      <c r="D493" s="550">
        <v>46051.694444444445</v>
      </c>
      <c r="E493" s="548" t="s">
        <v>1733</v>
      </c>
      <c r="F493" s="548" t="s">
        <v>1769</v>
      </c>
    </row>
    <row r="494" spans="1:6" hidden="1" x14ac:dyDescent="0.35">
      <c r="A494" s="548" t="s">
        <v>1719</v>
      </c>
      <c r="B494" s="548" t="s">
        <v>1720</v>
      </c>
      <c r="C494" s="550">
        <v>46052.239583333336</v>
      </c>
      <c r="D494" s="550">
        <v>46052.487500000003</v>
      </c>
      <c r="E494" s="548" t="s">
        <v>1734</v>
      </c>
      <c r="F494" s="548" t="s">
        <v>1769</v>
      </c>
    </row>
    <row r="495" spans="1:6" hidden="1" x14ac:dyDescent="0.35">
      <c r="A495" s="548" t="s">
        <v>1719</v>
      </c>
      <c r="B495" s="548" t="s">
        <v>1720</v>
      </c>
      <c r="C495" s="550">
        <v>46052.494444444441</v>
      </c>
      <c r="D495" s="550">
        <v>46052.569444444445</v>
      </c>
      <c r="E495" s="548" t="s">
        <v>1735</v>
      </c>
      <c r="F495" s="548" t="s">
        <v>1769</v>
      </c>
    </row>
    <row r="496" spans="1:6" hidden="1" x14ac:dyDescent="0.35">
      <c r="A496" s="548" t="s">
        <v>1736</v>
      </c>
      <c r="B496" s="548" t="s">
        <v>1737</v>
      </c>
      <c r="C496" s="550">
        <v>46027.322222222225</v>
      </c>
      <c r="D496" s="550">
        <v>46027.699305555558</v>
      </c>
      <c r="E496" s="548" t="s">
        <v>1651</v>
      </c>
      <c r="F496" s="548" t="s">
        <v>1769</v>
      </c>
    </row>
    <row r="497" spans="1:6" hidden="1" x14ac:dyDescent="0.35">
      <c r="A497" s="548" t="s">
        <v>1736</v>
      </c>
      <c r="B497" s="548" t="s">
        <v>1737</v>
      </c>
      <c r="C497" s="550">
        <v>46028.321527777778</v>
      </c>
      <c r="D497" s="550">
        <v>46028.697916666664</v>
      </c>
      <c r="E497" s="548" t="s">
        <v>1651</v>
      </c>
      <c r="F497" s="548" t="s">
        <v>1769</v>
      </c>
    </row>
    <row r="498" spans="1:6" hidden="1" x14ac:dyDescent="0.35">
      <c r="A498" s="548" t="s">
        <v>1736</v>
      </c>
      <c r="B498" s="548" t="s">
        <v>1737</v>
      </c>
      <c r="C498" s="550">
        <v>46029.324305555558</v>
      </c>
      <c r="D498" s="550">
        <v>46029.696527777778</v>
      </c>
      <c r="E498" s="548" t="s">
        <v>1651</v>
      </c>
      <c r="F498" s="548" t="s">
        <v>1769</v>
      </c>
    </row>
    <row r="499" spans="1:6" hidden="1" x14ac:dyDescent="0.35">
      <c r="A499" s="548" t="s">
        <v>1736</v>
      </c>
      <c r="B499" s="548" t="s">
        <v>1737</v>
      </c>
      <c r="C499" s="550">
        <v>46030.243055555555</v>
      </c>
      <c r="D499" s="550">
        <v>46030.696527777778</v>
      </c>
      <c r="E499" s="548" t="s">
        <v>1651</v>
      </c>
      <c r="F499" s="548" t="s">
        <v>1769</v>
      </c>
    </row>
    <row r="500" spans="1:6" hidden="1" x14ac:dyDescent="0.35">
      <c r="A500" s="548" t="s">
        <v>1736</v>
      </c>
      <c r="B500" s="548" t="s">
        <v>1737</v>
      </c>
      <c r="C500" s="550">
        <v>46031.242361111108</v>
      </c>
      <c r="D500" s="550">
        <v>46031.575694444444</v>
      </c>
      <c r="E500" s="548" t="s">
        <v>1651</v>
      </c>
      <c r="F500" s="548" t="s">
        <v>1769</v>
      </c>
    </row>
    <row r="501" spans="1:6" hidden="1" x14ac:dyDescent="0.35">
      <c r="A501" s="548" t="s">
        <v>1736</v>
      </c>
      <c r="B501" s="548" t="s">
        <v>1737</v>
      </c>
      <c r="C501" s="550">
        <v>46034.317361111112</v>
      </c>
      <c r="D501" s="550">
        <v>46034.697916666664</v>
      </c>
      <c r="E501" s="548" t="s">
        <v>1651</v>
      </c>
      <c r="F501" s="548" t="s">
        <v>1769</v>
      </c>
    </row>
    <row r="502" spans="1:6" hidden="1" x14ac:dyDescent="0.35">
      <c r="A502" s="548" t="s">
        <v>1736</v>
      </c>
      <c r="B502" s="548" t="s">
        <v>1737</v>
      </c>
      <c r="C502" s="550">
        <v>46035.320833333331</v>
      </c>
      <c r="D502" s="550">
        <v>46035.697222222225</v>
      </c>
      <c r="E502" s="548" t="s">
        <v>1651</v>
      </c>
      <c r="F502" s="548" t="s">
        <v>1769</v>
      </c>
    </row>
    <row r="503" spans="1:6" hidden="1" x14ac:dyDescent="0.35">
      <c r="A503" s="548" t="s">
        <v>1736</v>
      </c>
      <c r="B503" s="548" t="s">
        <v>1737</v>
      </c>
      <c r="C503" s="550">
        <v>46036.318749999999</v>
      </c>
      <c r="D503" s="550">
        <v>46036.697222222225</v>
      </c>
      <c r="E503" s="548" t="s">
        <v>1651</v>
      </c>
      <c r="F503" s="548" t="s">
        <v>1769</v>
      </c>
    </row>
    <row r="504" spans="1:6" hidden="1" x14ac:dyDescent="0.35">
      <c r="A504" s="548" t="s">
        <v>1736</v>
      </c>
      <c r="B504" s="548" t="s">
        <v>1737</v>
      </c>
      <c r="C504" s="550">
        <v>46037.318055555559</v>
      </c>
      <c r="D504" s="550">
        <v>46037.7</v>
      </c>
      <c r="E504" s="548" t="s">
        <v>1651</v>
      </c>
      <c r="F504" s="548" t="s">
        <v>1769</v>
      </c>
    </row>
    <row r="505" spans="1:6" hidden="1" x14ac:dyDescent="0.35">
      <c r="A505" s="548" t="s">
        <v>1736</v>
      </c>
      <c r="B505" s="548" t="s">
        <v>1737</v>
      </c>
      <c r="C505" s="550">
        <v>46038.236805555556</v>
      </c>
      <c r="D505" s="550">
        <v>46038.570833333331</v>
      </c>
      <c r="E505" s="548" t="s">
        <v>1651</v>
      </c>
      <c r="F505" s="548" t="s">
        <v>1769</v>
      </c>
    </row>
    <row r="506" spans="1:6" hidden="1" x14ac:dyDescent="0.35">
      <c r="A506" s="548" t="s">
        <v>1736</v>
      </c>
      <c r="B506" s="548" t="s">
        <v>1737</v>
      </c>
      <c r="C506" s="550">
        <v>46041.316666666666</v>
      </c>
      <c r="D506" s="550">
        <v>46041.694444444445</v>
      </c>
      <c r="E506" s="548" t="s">
        <v>1651</v>
      </c>
      <c r="F506" s="548" t="s">
        <v>1769</v>
      </c>
    </row>
    <row r="507" spans="1:6" hidden="1" x14ac:dyDescent="0.35">
      <c r="A507" s="548" t="s">
        <v>1736</v>
      </c>
      <c r="B507" s="548" t="s">
        <v>1737</v>
      </c>
      <c r="C507" s="550">
        <v>46042.319444444445</v>
      </c>
      <c r="D507" s="550">
        <v>46042.697222222225</v>
      </c>
      <c r="E507" s="548" t="s">
        <v>1651</v>
      </c>
      <c r="F507" s="548" t="s">
        <v>1769</v>
      </c>
    </row>
    <row r="508" spans="1:6" hidden="1" x14ac:dyDescent="0.35">
      <c r="A508" s="548" t="s">
        <v>1736</v>
      </c>
      <c r="B508" s="548" t="s">
        <v>1737</v>
      </c>
      <c r="C508" s="550">
        <v>46043.31527777778</v>
      </c>
      <c r="D508" s="550">
        <v>46043.695138888892</v>
      </c>
      <c r="E508" s="548" t="s">
        <v>1651</v>
      </c>
      <c r="F508" s="548" t="s">
        <v>1769</v>
      </c>
    </row>
    <row r="509" spans="1:6" hidden="1" x14ac:dyDescent="0.35">
      <c r="A509" s="548" t="s">
        <v>1736</v>
      </c>
      <c r="B509" s="548" t="s">
        <v>1737</v>
      </c>
      <c r="C509" s="550">
        <v>46044.316666666666</v>
      </c>
      <c r="D509" s="550">
        <v>46044.695138888892</v>
      </c>
      <c r="E509" s="548" t="s">
        <v>1651</v>
      </c>
      <c r="F509" s="548" t="s">
        <v>1769</v>
      </c>
    </row>
    <row r="510" spans="1:6" hidden="1" x14ac:dyDescent="0.35">
      <c r="A510" s="548" t="s">
        <v>1736</v>
      </c>
      <c r="B510" s="548" t="s">
        <v>1737</v>
      </c>
      <c r="C510" s="550">
        <v>46045.24722222222</v>
      </c>
      <c r="D510" s="550">
        <v>46045.568055555559</v>
      </c>
      <c r="E510" s="548" t="s">
        <v>1738</v>
      </c>
      <c r="F510" s="548" t="s">
        <v>1769</v>
      </c>
    </row>
    <row r="511" spans="1:6" hidden="1" x14ac:dyDescent="0.35">
      <c r="A511" s="548" t="s">
        <v>1736</v>
      </c>
      <c r="B511" s="548" t="s">
        <v>1737</v>
      </c>
      <c r="C511" s="550">
        <v>46048.320833333331</v>
      </c>
      <c r="D511" s="550">
        <v>46048.698611111111</v>
      </c>
      <c r="E511" s="548" t="s">
        <v>1651</v>
      </c>
      <c r="F511" s="548" t="s">
        <v>1769</v>
      </c>
    </row>
    <row r="512" spans="1:6" hidden="1" x14ac:dyDescent="0.35">
      <c r="A512" s="548" t="s">
        <v>1736</v>
      </c>
      <c r="B512" s="548" t="s">
        <v>1737</v>
      </c>
      <c r="C512" s="550">
        <v>46049.320833333331</v>
      </c>
      <c r="D512" s="550">
        <v>46049.695833333331</v>
      </c>
      <c r="E512" s="548" t="s">
        <v>1651</v>
      </c>
      <c r="F512" s="548" t="s">
        <v>1769</v>
      </c>
    </row>
    <row r="513" spans="1:6" hidden="1" x14ac:dyDescent="0.35">
      <c r="A513" s="548" t="s">
        <v>1736</v>
      </c>
      <c r="B513" s="548" t="s">
        <v>1737</v>
      </c>
      <c r="C513" s="550">
        <v>46050.320833333331</v>
      </c>
      <c r="D513" s="550">
        <v>46050.697916666664</v>
      </c>
      <c r="E513" s="548" t="s">
        <v>1651</v>
      </c>
      <c r="F513" s="548" t="s">
        <v>1769</v>
      </c>
    </row>
    <row r="514" spans="1:6" hidden="1" x14ac:dyDescent="0.35">
      <c r="A514" s="548" t="s">
        <v>1736</v>
      </c>
      <c r="B514" s="548" t="s">
        <v>1737</v>
      </c>
      <c r="C514" s="550">
        <v>46051.318749999999</v>
      </c>
      <c r="D514" s="550">
        <v>46051.694444444445</v>
      </c>
      <c r="E514" s="548" t="s">
        <v>1651</v>
      </c>
      <c r="F514" s="548" t="s">
        <v>1769</v>
      </c>
    </row>
    <row r="515" spans="1:6" hidden="1" x14ac:dyDescent="0.35">
      <c r="A515" s="548" t="s">
        <v>1736</v>
      </c>
      <c r="B515" s="548" t="s">
        <v>1737</v>
      </c>
      <c r="C515" s="550">
        <v>46052.239583333336</v>
      </c>
      <c r="D515" s="550">
        <v>46052.448611111111</v>
      </c>
      <c r="E515" s="548" t="s">
        <v>1721</v>
      </c>
      <c r="F515" s="548" t="s">
        <v>1769</v>
      </c>
    </row>
    <row r="516" spans="1:6" hidden="1" x14ac:dyDescent="0.35">
      <c r="A516" s="548" t="s">
        <v>1736</v>
      </c>
      <c r="B516" s="548" t="s">
        <v>1737</v>
      </c>
      <c r="C516" s="550">
        <v>46052.491666666669</v>
      </c>
      <c r="D516" s="550">
        <v>46052.570833333331</v>
      </c>
      <c r="E516" s="548" t="s">
        <v>1739</v>
      </c>
      <c r="F516" s="548" t="s">
        <v>1769</v>
      </c>
    </row>
    <row r="517" spans="1:6" hidden="1" x14ac:dyDescent="0.35">
      <c r="A517" s="548" t="s">
        <v>1740</v>
      </c>
      <c r="B517" s="548" t="s">
        <v>1741</v>
      </c>
      <c r="C517" s="550">
        <v>46027.322222222225</v>
      </c>
      <c r="D517" s="550">
        <v>46027.482638888891</v>
      </c>
      <c r="E517" s="548" t="s">
        <v>1742</v>
      </c>
      <c r="F517" s="548" t="s">
        <v>1769</v>
      </c>
    </row>
    <row r="518" spans="1:6" hidden="1" x14ac:dyDescent="0.35">
      <c r="A518" s="548" t="s">
        <v>1740</v>
      </c>
      <c r="B518" s="548" t="s">
        <v>1741</v>
      </c>
      <c r="C518" s="550">
        <v>46027.493750000001</v>
      </c>
      <c r="D518" s="550">
        <v>46027.699305555558</v>
      </c>
      <c r="E518" s="548" t="s">
        <v>1712</v>
      </c>
      <c r="F518" s="548" t="s">
        <v>1769</v>
      </c>
    </row>
    <row r="519" spans="1:6" hidden="1" x14ac:dyDescent="0.35">
      <c r="A519" s="548" t="s">
        <v>1740</v>
      </c>
      <c r="B519" s="548" t="s">
        <v>1741</v>
      </c>
      <c r="C519" s="550">
        <v>46028.321527777778</v>
      </c>
      <c r="D519" s="550">
        <v>46028.698611111111</v>
      </c>
      <c r="E519" s="548" t="s">
        <v>1651</v>
      </c>
      <c r="F519" s="548" t="s">
        <v>1769</v>
      </c>
    </row>
    <row r="520" spans="1:6" hidden="1" x14ac:dyDescent="0.35">
      <c r="A520" s="548" t="s">
        <v>1740</v>
      </c>
      <c r="B520" s="548" t="s">
        <v>1741</v>
      </c>
      <c r="C520" s="550">
        <v>46029.324305555558</v>
      </c>
      <c r="D520" s="550">
        <v>46029.697222222225</v>
      </c>
      <c r="E520" s="548" t="s">
        <v>1651</v>
      </c>
      <c r="F520" s="548" t="s">
        <v>1769</v>
      </c>
    </row>
    <row r="521" spans="1:6" hidden="1" x14ac:dyDescent="0.35">
      <c r="A521" s="548" t="s">
        <v>1740</v>
      </c>
      <c r="B521" s="548" t="s">
        <v>1741</v>
      </c>
      <c r="C521" s="550">
        <v>46030.242361111108</v>
      </c>
      <c r="D521" s="550">
        <v>46030.696527777778</v>
      </c>
      <c r="E521" s="548" t="s">
        <v>1651</v>
      </c>
      <c r="F521" s="548" t="s">
        <v>1769</v>
      </c>
    </row>
    <row r="522" spans="1:6" hidden="1" x14ac:dyDescent="0.35">
      <c r="A522" s="548" t="s">
        <v>1740</v>
      </c>
      <c r="B522" s="548" t="s">
        <v>1741</v>
      </c>
      <c r="C522" s="550">
        <v>46031.242361111108</v>
      </c>
      <c r="D522" s="550">
        <v>46031.415972222225</v>
      </c>
      <c r="E522" s="548" t="s">
        <v>1713</v>
      </c>
      <c r="F522" s="548" t="s">
        <v>1769</v>
      </c>
    </row>
    <row r="523" spans="1:6" hidden="1" x14ac:dyDescent="0.35">
      <c r="A523" s="548" t="s">
        <v>1740</v>
      </c>
      <c r="B523" s="548" t="s">
        <v>1741</v>
      </c>
      <c r="C523" s="550">
        <v>46031.432638888888</v>
      </c>
      <c r="D523" s="550">
        <v>46031.575694444444</v>
      </c>
      <c r="E523" s="548" t="s">
        <v>1714</v>
      </c>
      <c r="F523" s="548" t="s">
        <v>1769</v>
      </c>
    </row>
    <row r="524" spans="1:6" hidden="1" x14ac:dyDescent="0.35">
      <c r="A524" s="548" t="s">
        <v>1740</v>
      </c>
      <c r="B524" s="548" t="s">
        <v>1741</v>
      </c>
      <c r="C524" s="550">
        <v>46034.319444444445</v>
      </c>
      <c r="D524" s="550">
        <v>46034.604861111111</v>
      </c>
      <c r="E524" s="548" t="s">
        <v>1743</v>
      </c>
      <c r="F524" s="548" t="s">
        <v>1769</v>
      </c>
    </row>
    <row r="525" spans="1:6" hidden="1" x14ac:dyDescent="0.35">
      <c r="A525" s="548" t="s">
        <v>1740</v>
      </c>
      <c r="B525" s="548" t="s">
        <v>1741</v>
      </c>
      <c r="C525" s="550">
        <v>46034.629861111112</v>
      </c>
      <c r="D525" s="550">
        <v>46034.699305555558</v>
      </c>
      <c r="E525" s="548" t="s">
        <v>1744</v>
      </c>
      <c r="F525" s="548" t="s">
        <v>1769</v>
      </c>
    </row>
    <row r="526" spans="1:6" hidden="1" x14ac:dyDescent="0.35">
      <c r="A526" s="548" t="s">
        <v>1740</v>
      </c>
      <c r="B526" s="548" t="s">
        <v>1741</v>
      </c>
      <c r="C526" s="550">
        <v>46035.320833333331</v>
      </c>
      <c r="D526" s="550">
        <v>46035.697916666664</v>
      </c>
      <c r="E526" s="548" t="s">
        <v>1651</v>
      </c>
      <c r="F526" s="548" t="s">
        <v>1769</v>
      </c>
    </row>
    <row r="527" spans="1:6" hidden="1" x14ac:dyDescent="0.35">
      <c r="A527" s="548" t="s">
        <v>1740</v>
      </c>
      <c r="B527" s="548" t="s">
        <v>1741</v>
      </c>
      <c r="C527" s="550">
        <v>46036.323611111111</v>
      </c>
      <c r="D527" s="550">
        <v>46036.350694444445</v>
      </c>
      <c r="E527" s="548" t="s">
        <v>1641</v>
      </c>
      <c r="F527" s="548" t="s">
        <v>1769</v>
      </c>
    </row>
    <row r="528" spans="1:6" hidden="1" x14ac:dyDescent="0.35">
      <c r="A528" s="548" t="s">
        <v>1740</v>
      </c>
      <c r="B528" s="548" t="s">
        <v>1741</v>
      </c>
      <c r="C528" s="550">
        <v>46036.352777777778</v>
      </c>
      <c r="D528" s="550">
        <v>46036.707638888889</v>
      </c>
      <c r="E528" s="548" t="s">
        <v>1651</v>
      </c>
      <c r="F528" s="548" t="s">
        <v>1769</v>
      </c>
    </row>
    <row r="529" spans="1:6" hidden="1" x14ac:dyDescent="0.35">
      <c r="A529" s="548" t="s">
        <v>1740</v>
      </c>
      <c r="B529" s="548" t="s">
        <v>1741</v>
      </c>
      <c r="C529" s="550">
        <v>46037.318055555559</v>
      </c>
      <c r="D529" s="550">
        <v>46037.695833333331</v>
      </c>
      <c r="E529" s="548" t="s">
        <v>1651</v>
      </c>
      <c r="F529" s="548" t="s">
        <v>1769</v>
      </c>
    </row>
    <row r="530" spans="1:6" hidden="1" x14ac:dyDescent="0.35">
      <c r="A530" s="548" t="s">
        <v>1740</v>
      </c>
      <c r="B530" s="548" t="s">
        <v>1741</v>
      </c>
      <c r="C530" s="550">
        <v>46038.236805555556</v>
      </c>
      <c r="D530" s="550">
        <v>46038.573611111111</v>
      </c>
      <c r="E530" s="548" t="s">
        <v>1651</v>
      </c>
      <c r="F530" s="548" t="s">
        <v>1769</v>
      </c>
    </row>
    <row r="531" spans="1:6" hidden="1" x14ac:dyDescent="0.35">
      <c r="A531" s="548" t="s">
        <v>1740</v>
      </c>
      <c r="B531" s="548" t="s">
        <v>1741</v>
      </c>
      <c r="C531" s="550">
        <v>46041.316666666666</v>
      </c>
      <c r="D531" s="550">
        <v>46041.490972222222</v>
      </c>
      <c r="E531" s="548" t="s">
        <v>1745</v>
      </c>
      <c r="F531" s="548" t="s">
        <v>1769</v>
      </c>
    </row>
    <row r="532" spans="1:6" hidden="1" x14ac:dyDescent="0.35">
      <c r="A532" s="548" t="s">
        <v>1740</v>
      </c>
      <c r="B532" s="548" t="s">
        <v>1741</v>
      </c>
      <c r="C532" s="550">
        <v>46041.500694444447</v>
      </c>
      <c r="D532" s="550">
        <v>46041.697916666664</v>
      </c>
      <c r="E532" s="548" t="s">
        <v>1746</v>
      </c>
      <c r="F532" s="548" t="s">
        <v>1769</v>
      </c>
    </row>
    <row r="533" spans="1:6" hidden="1" x14ac:dyDescent="0.35">
      <c r="A533" s="548" t="s">
        <v>1740</v>
      </c>
      <c r="B533" s="548" t="s">
        <v>1741</v>
      </c>
      <c r="C533" s="550">
        <v>46042.318749999999</v>
      </c>
      <c r="D533" s="550">
        <v>46042.697916666664</v>
      </c>
      <c r="E533" s="548" t="s">
        <v>1651</v>
      </c>
      <c r="F533" s="548" t="s">
        <v>1769</v>
      </c>
    </row>
    <row r="534" spans="1:6" hidden="1" x14ac:dyDescent="0.35">
      <c r="A534" s="548" t="s">
        <v>1740</v>
      </c>
      <c r="B534" s="548" t="s">
        <v>1741</v>
      </c>
      <c r="C534" s="550">
        <v>46043.31527777778</v>
      </c>
      <c r="D534" s="550">
        <v>46043.372916666667</v>
      </c>
      <c r="E534" s="548" t="s">
        <v>1677</v>
      </c>
      <c r="F534" s="548" t="s">
        <v>1769</v>
      </c>
    </row>
    <row r="535" spans="1:6" hidden="1" x14ac:dyDescent="0.35">
      <c r="A535" s="548" t="s">
        <v>1740</v>
      </c>
      <c r="B535" s="548" t="s">
        <v>1741</v>
      </c>
      <c r="C535" s="550">
        <v>46043.390277777777</v>
      </c>
      <c r="D535" s="550">
        <v>46043.697222222225</v>
      </c>
      <c r="E535" s="548" t="s">
        <v>1747</v>
      </c>
      <c r="F535" s="548" t="s">
        <v>1769</v>
      </c>
    </row>
    <row r="536" spans="1:6" hidden="1" x14ac:dyDescent="0.35">
      <c r="A536" s="548" t="s">
        <v>1740</v>
      </c>
      <c r="B536" s="548" t="s">
        <v>1741</v>
      </c>
      <c r="C536" s="550">
        <v>46044.316666666666</v>
      </c>
      <c r="D536" s="550">
        <v>46044.695138888892</v>
      </c>
      <c r="E536" s="548" t="s">
        <v>1651</v>
      </c>
      <c r="F536" s="548" t="s">
        <v>1769</v>
      </c>
    </row>
    <row r="537" spans="1:6" hidden="1" x14ac:dyDescent="0.35">
      <c r="A537" s="548" t="s">
        <v>1740</v>
      </c>
      <c r="B537" s="548" t="s">
        <v>1741</v>
      </c>
      <c r="C537" s="550">
        <v>46045.24722222222</v>
      </c>
      <c r="D537" s="550">
        <v>46045.572222222225</v>
      </c>
      <c r="E537" s="548" t="s">
        <v>1679</v>
      </c>
      <c r="F537" s="548" t="s">
        <v>1769</v>
      </c>
    </row>
    <row r="538" spans="1:6" hidden="1" x14ac:dyDescent="0.35">
      <c r="A538" s="548" t="s">
        <v>1740</v>
      </c>
      <c r="B538" s="548" t="s">
        <v>1741</v>
      </c>
      <c r="C538" s="550">
        <v>46046.237500000003</v>
      </c>
      <c r="D538" s="550">
        <v>46046.569444444445</v>
      </c>
      <c r="E538" s="548" t="s">
        <v>1748</v>
      </c>
      <c r="F538" s="548" t="s">
        <v>1769</v>
      </c>
    </row>
    <row r="539" spans="1:6" hidden="1" x14ac:dyDescent="0.35">
      <c r="A539" s="548" t="s">
        <v>1740</v>
      </c>
      <c r="B539" s="548" t="s">
        <v>1741</v>
      </c>
      <c r="C539" s="550">
        <v>46048.320833333331</v>
      </c>
      <c r="D539" s="550">
        <v>46048.7</v>
      </c>
      <c r="E539" s="548" t="s">
        <v>1651</v>
      </c>
      <c r="F539" s="548" t="s">
        <v>1769</v>
      </c>
    </row>
    <row r="540" spans="1:6" hidden="1" x14ac:dyDescent="0.35">
      <c r="A540" s="548" t="s">
        <v>1740</v>
      </c>
      <c r="B540" s="548" t="s">
        <v>1741</v>
      </c>
      <c r="C540" s="550">
        <v>46049.320833333331</v>
      </c>
      <c r="D540" s="550">
        <v>46049.700694444444</v>
      </c>
      <c r="E540" s="548" t="s">
        <v>1651</v>
      </c>
      <c r="F540" s="548" t="s">
        <v>1769</v>
      </c>
    </row>
    <row r="541" spans="1:6" hidden="1" x14ac:dyDescent="0.35">
      <c r="A541" s="548" t="s">
        <v>1740</v>
      </c>
      <c r="B541" s="548" t="s">
        <v>1741</v>
      </c>
      <c r="C541" s="550">
        <v>46050.321527777778</v>
      </c>
      <c r="D541" s="550">
        <v>46050.697916666664</v>
      </c>
      <c r="E541" s="548" t="s">
        <v>1651</v>
      </c>
      <c r="F541" s="548" t="s">
        <v>1769</v>
      </c>
    </row>
    <row r="542" spans="1:6" hidden="1" x14ac:dyDescent="0.35">
      <c r="A542" s="548" t="s">
        <v>1740</v>
      </c>
      <c r="B542" s="548" t="s">
        <v>1741</v>
      </c>
      <c r="C542" s="550">
        <v>46051.318749999999</v>
      </c>
      <c r="D542" s="550">
        <v>46051.694444444445</v>
      </c>
      <c r="E542" s="548" t="s">
        <v>1651</v>
      </c>
      <c r="F542" s="548" t="s">
        <v>1769</v>
      </c>
    </row>
    <row r="543" spans="1:6" hidden="1" x14ac:dyDescent="0.35">
      <c r="A543" s="548" t="s">
        <v>1740</v>
      </c>
      <c r="B543" s="548" t="s">
        <v>1741</v>
      </c>
      <c r="C543" s="550">
        <v>46052.240277777775</v>
      </c>
      <c r="D543" s="550">
        <v>46052.448611111111</v>
      </c>
      <c r="E543" s="548" t="s">
        <v>1749</v>
      </c>
      <c r="F543" s="548" t="s">
        <v>1769</v>
      </c>
    </row>
    <row r="544" spans="1:6" hidden="1" x14ac:dyDescent="0.35">
      <c r="A544" s="548" t="s">
        <v>1750</v>
      </c>
      <c r="B544" s="548" t="s">
        <v>1751</v>
      </c>
      <c r="C544" s="550">
        <v>46025.25</v>
      </c>
      <c r="D544" s="550">
        <v>46025.575694444444</v>
      </c>
      <c r="E544" s="548" t="s">
        <v>1710</v>
      </c>
      <c r="F544" s="548" t="s">
        <v>1769</v>
      </c>
    </row>
    <row r="545" spans="1:6" hidden="1" x14ac:dyDescent="0.35">
      <c r="A545" s="548" t="s">
        <v>1750</v>
      </c>
      <c r="B545" s="548" t="s">
        <v>1751</v>
      </c>
      <c r="C545" s="550">
        <v>46027.322916666664</v>
      </c>
      <c r="D545" s="550">
        <v>46027.708333333336</v>
      </c>
      <c r="E545" s="548" t="s">
        <v>1651</v>
      </c>
      <c r="F545" s="548" t="s">
        <v>1769</v>
      </c>
    </row>
    <row r="546" spans="1:6" hidden="1" x14ac:dyDescent="0.35">
      <c r="A546" s="548" t="s">
        <v>1750</v>
      </c>
      <c r="B546" s="548" t="s">
        <v>1751</v>
      </c>
      <c r="C546" s="550">
        <v>46028.320833333331</v>
      </c>
      <c r="D546" s="550">
        <v>46028.701388888891</v>
      </c>
      <c r="E546" s="548" t="s">
        <v>1651</v>
      </c>
      <c r="F546" s="548" t="s">
        <v>1769</v>
      </c>
    </row>
    <row r="547" spans="1:6" hidden="1" x14ac:dyDescent="0.35">
      <c r="A547" s="548" t="s">
        <v>1750</v>
      </c>
      <c r="B547" s="548" t="s">
        <v>1751</v>
      </c>
      <c r="C547" s="550">
        <v>46029.246527777781</v>
      </c>
      <c r="D547" s="550">
        <v>46029.511805555558</v>
      </c>
      <c r="E547" s="548" t="s">
        <v>1752</v>
      </c>
      <c r="F547" s="548" t="s">
        <v>1769</v>
      </c>
    </row>
    <row r="548" spans="1:6" hidden="1" x14ac:dyDescent="0.35">
      <c r="A548" s="548" t="s">
        <v>1750</v>
      </c>
      <c r="B548" s="548" t="s">
        <v>1751</v>
      </c>
      <c r="C548" s="550">
        <v>46029.525694444441</v>
      </c>
      <c r="D548" s="550">
        <v>46029.625694444447</v>
      </c>
      <c r="E548" s="548" t="s">
        <v>1753</v>
      </c>
      <c r="F548" s="548" t="s">
        <v>1769</v>
      </c>
    </row>
    <row r="549" spans="1:6" hidden="1" x14ac:dyDescent="0.35">
      <c r="A549" s="548" t="s">
        <v>1750</v>
      </c>
      <c r="B549" s="548" t="s">
        <v>1751</v>
      </c>
      <c r="C549" s="550">
        <v>46030.242361111108</v>
      </c>
      <c r="D549" s="550">
        <v>46030.701388888891</v>
      </c>
      <c r="E549" s="548" t="s">
        <v>1651</v>
      </c>
      <c r="F549" s="548" t="s">
        <v>1769</v>
      </c>
    </row>
    <row r="550" spans="1:6" hidden="1" x14ac:dyDescent="0.35">
      <c r="A550" s="548" t="s">
        <v>1750</v>
      </c>
      <c r="B550" s="548" t="s">
        <v>1751</v>
      </c>
      <c r="C550" s="550">
        <v>46031.243750000001</v>
      </c>
      <c r="D550" s="550">
        <v>46031.291666666664</v>
      </c>
      <c r="E550" s="548" t="s">
        <v>1671</v>
      </c>
      <c r="F550" s="548" t="s">
        <v>1769</v>
      </c>
    </row>
    <row r="551" spans="1:6" hidden="1" x14ac:dyDescent="0.35">
      <c r="A551" s="548" t="s">
        <v>1750</v>
      </c>
      <c r="B551" s="548" t="s">
        <v>1751</v>
      </c>
      <c r="C551" s="550">
        <v>46031.319444444445</v>
      </c>
      <c r="D551" s="550">
        <v>46031.575694444444</v>
      </c>
      <c r="E551" s="548" t="s">
        <v>1754</v>
      </c>
      <c r="F551" s="548" t="s">
        <v>1769</v>
      </c>
    </row>
    <row r="552" spans="1:6" hidden="1" x14ac:dyDescent="0.35">
      <c r="A552" s="548" t="s">
        <v>1750</v>
      </c>
      <c r="B552" s="548" t="s">
        <v>1751</v>
      </c>
      <c r="C552" s="550">
        <v>46032.255555555559</v>
      </c>
      <c r="D552" s="550">
        <v>46032.582638888889</v>
      </c>
      <c r="E552" s="548" t="s">
        <v>1755</v>
      </c>
      <c r="F552" s="548" t="s">
        <v>1769</v>
      </c>
    </row>
    <row r="553" spans="1:6" hidden="1" x14ac:dyDescent="0.35">
      <c r="A553" s="548" t="s">
        <v>1750</v>
      </c>
      <c r="B553" s="548" t="s">
        <v>1751</v>
      </c>
      <c r="C553" s="550">
        <v>46034.255555555559</v>
      </c>
      <c r="D553" s="550">
        <v>46034.594444444447</v>
      </c>
      <c r="E553" s="548" t="s">
        <v>1651</v>
      </c>
      <c r="F553" s="548" t="s">
        <v>1769</v>
      </c>
    </row>
    <row r="554" spans="1:6" hidden="1" x14ac:dyDescent="0.35">
      <c r="A554" s="548" t="s">
        <v>1750</v>
      </c>
      <c r="B554" s="548" t="s">
        <v>1751</v>
      </c>
      <c r="C554" s="550">
        <v>46035.256249999999</v>
      </c>
      <c r="D554" s="550">
        <v>46035.323611111111</v>
      </c>
      <c r="E554" s="548" t="s">
        <v>1756</v>
      </c>
      <c r="F554" s="548" t="s">
        <v>1769</v>
      </c>
    </row>
    <row r="555" spans="1:6" hidden="1" x14ac:dyDescent="0.35">
      <c r="A555" s="548" t="s">
        <v>1750</v>
      </c>
      <c r="B555" s="548" t="s">
        <v>1751</v>
      </c>
      <c r="C555" s="550">
        <v>46035.368055555555</v>
      </c>
      <c r="D555" s="550">
        <v>46035.474305555559</v>
      </c>
      <c r="E555" s="548" t="s">
        <v>1757</v>
      </c>
      <c r="F555" s="548" t="s">
        <v>1769</v>
      </c>
    </row>
    <row r="556" spans="1:6" hidden="1" x14ac:dyDescent="0.35">
      <c r="A556" s="548" t="s">
        <v>1750</v>
      </c>
      <c r="B556" s="548" t="s">
        <v>1751</v>
      </c>
      <c r="C556" s="550">
        <v>46035.493750000001</v>
      </c>
      <c r="D556" s="550">
        <v>46035.62222222222</v>
      </c>
      <c r="E556" s="548" t="s">
        <v>1758</v>
      </c>
      <c r="F556" s="548" t="s">
        <v>1769</v>
      </c>
    </row>
    <row r="557" spans="1:6" hidden="1" x14ac:dyDescent="0.35">
      <c r="A557" s="548" t="s">
        <v>1750</v>
      </c>
      <c r="B557" s="548" t="s">
        <v>1751</v>
      </c>
      <c r="C557" s="551"/>
      <c r="D557" s="550">
        <v>46036.249305555553</v>
      </c>
      <c r="E557" s="548" t="s">
        <v>1645</v>
      </c>
      <c r="F557" s="548" t="s">
        <v>1769</v>
      </c>
    </row>
    <row r="558" spans="1:6" hidden="1" x14ac:dyDescent="0.35">
      <c r="A558" s="548" t="s">
        <v>1750</v>
      </c>
      <c r="B558" s="548" t="s">
        <v>1751</v>
      </c>
      <c r="C558" s="550">
        <v>46036.259027777778</v>
      </c>
      <c r="D558" s="550">
        <v>46036.304861111108</v>
      </c>
      <c r="E558" s="548" t="s">
        <v>1759</v>
      </c>
      <c r="F558" s="548" t="s">
        <v>1769</v>
      </c>
    </row>
    <row r="559" spans="1:6" hidden="1" x14ac:dyDescent="0.35">
      <c r="A559" s="548" t="s">
        <v>1750</v>
      </c>
      <c r="B559" s="548" t="s">
        <v>1751</v>
      </c>
      <c r="C559" s="550">
        <v>46036.46875</v>
      </c>
      <c r="D559" s="550">
        <v>46036.791666666664</v>
      </c>
      <c r="E559" s="548" t="s">
        <v>1687</v>
      </c>
      <c r="F559" s="548" t="s">
        <v>1769</v>
      </c>
    </row>
    <row r="560" spans="1:6" hidden="1" x14ac:dyDescent="0.35">
      <c r="A560" s="548" t="s">
        <v>1750</v>
      </c>
      <c r="B560" s="548" t="s">
        <v>1751</v>
      </c>
      <c r="C560" s="550">
        <v>46037.318055555559</v>
      </c>
      <c r="D560" s="550">
        <v>46037.9</v>
      </c>
      <c r="E560" s="548" t="s">
        <v>1651</v>
      </c>
      <c r="F560" s="548" t="s">
        <v>1769</v>
      </c>
    </row>
    <row r="561" spans="1:6" hidden="1" x14ac:dyDescent="0.35">
      <c r="A561" s="548" t="s">
        <v>1750</v>
      </c>
      <c r="B561" s="548" t="s">
        <v>1751</v>
      </c>
      <c r="C561" s="550">
        <v>46038.236111111109</v>
      </c>
      <c r="D561" s="550">
        <v>46038.579861111109</v>
      </c>
      <c r="E561" s="548" t="s">
        <v>1651</v>
      </c>
      <c r="F561" s="548" t="s">
        <v>1769</v>
      </c>
    </row>
    <row r="562" spans="1:6" hidden="1" x14ac:dyDescent="0.35">
      <c r="A562" s="548" t="s">
        <v>1750</v>
      </c>
      <c r="B562" s="548" t="s">
        <v>1751</v>
      </c>
      <c r="C562" s="550">
        <v>46041.356249999997</v>
      </c>
      <c r="D562" s="550">
        <v>46041.675694444442</v>
      </c>
      <c r="E562" s="548" t="s">
        <v>1760</v>
      </c>
      <c r="F562" s="548" t="s">
        <v>1769</v>
      </c>
    </row>
    <row r="563" spans="1:6" hidden="1" x14ac:dyDescent="0.35">
      <c r="A563" s="548" t="s">
        <v>1750</v>
      </c>
      <c r="B563" s="548" t="s">
        <v>1751</v>
      </c>
      <c r="C563" s="550">
        <v>46042.257638888892</v>
      </c>
      <c r="D563" s="550">
        <v>46042.619444444441</v>
      </c>
      <c r="E563" s="548" t="s">
        <v>1651</v>
      </c>
      <c r="F563" s="548" t="s">
        <v>1769</v>
      </c>
    </row>
    <row r="564" spans="1:6" hidden="1" x14ac:dyDescent="0.35">
      <c r="A564" s="548" t="s">
        <v>1750</v>
      </c>
      <c r="B564" s="548" t="s">
        <v>1751</v>
      </c>
      <c r="C564" s="550">
        <v>46043.31527777778</v>
      </c>
      <c r="D564" s="550">
        <v>46043.371527777781</v>
      </c>
      <c r="E564" s="548" t="s">
        <v>1761</v>
      </c>
      <c r="F564" s="548" t="s">
        <v>1769</v>
      </c>
    </row>
    <row r="565" spans="1:6" hidden="1" x14ac:dyDescent="0.35">
      <c r="A565" s="548" t="s">
        <v>1750</v>
      </c>
      <c r="B565" s="548" t="s">
        <v>1751</v>
      </c>
      <c r="C565" s="550">
        <v>46043.390972222223</v>
      </c>
      <c r="D565" s="550">
        <v>46043.7</v>
      </c>
      <c r="E565" s="548" t="s">
        <v>1762</v>
      </c>
      <c r="F565" s="548" t="s">
        <v>1769</v>
      </c>
    </row>
    <row r="566" spans="1:6" hidden="1" x14ac:dyDescent="0.35">
      <c r="A566" s="548" t="s">
        <v>1750</v>
      </c>
      <c r="B566" s="548" t="s">
        <v>1751</v>
      </c>
      <c r="C566" s="550">
        <v>46044.242361111108</v>
      </c>
      <c r="D566" s="550">
        <v>46044.623611111114</v>
      </c>
      <c r="E566" s="548" t="s">
        <v>1651</v>
      </c>
      <c r="F566" s="548" t="s">
        <v>1769</v>
      </c>
    </row>
    <row r="567" spans="1:6" hidden="1" x14ac:dyDescent="0.35">
      <c r="A567" s="548" t="s">
        <v>1750</v>
      </c>
      <c r="B567" s="548" t="s">
        <v>1751</v>
      </c>
      <c r="C567" s="550">
        <v>46045.24722222222</v>
      </c>
      <c r="D567" s="550">
        <v>46045.570138888892</v>
      </c>
      <c r="E567" s="548" t="s">
        <v>1687</v>
      </c>
      <c r="F567" s="548" t="s">
        <v>1769</v>
      </c>
    </row>
    <row r="568" spans="1:6" hidden="1" x14ac:dyDescent="0.35">
      <c r="A568" s="548" t="s">
        <v>1750</v>
      </c>
      <c r="B568" s="548" t="s">
        <v>1751</v>
      </c>
      <c r="C568" s="550">
        <v>46046.259027777778</v>
      </c>
      <c r="D568" s="550">
        <v>46046.584027777775</v>
      </c>
      <c r="E568" s="548" t="s">
        <v>1679</v>
      </c>
      <c r="F568" s="548" t="s">
        <v>1769</v>
      </c>
    </row>
    <row r="569" spans="1:6" hidden="1" x14ac:dyDescent="0.35">
      <c r="A569" s="548" t="s">
        <v>1750</v>
      </c>
      <c r="B569" s="548" t="s">
        <v>1751</v>
      </c>
      <c r="C569" s="550">
        <v>46048.320833333331</v>
      </c>
      <c r="D569" s="550">
        <v>46048.699305555558</v>
      </c>
      <c r="E569" s="548" t="s">
        <v>1651</v>
      </c>
      <c r="F569" s="548" t="s">
        <v>1769</v>
      </c>
    </row>
    <row r="570" spans="1:6" hidden="1" x14ac:dyDescent="0.35">
      <c r="A570" s="548" t="s">
        <v>1750</v>
      </c>
      <c r="B570" s="548" t="s">
        <v>1751</v>
      </c>
      <c r="C570" s="550">
        <v>46049.247916666667</v>
      </c>
      <c r="D570" s="550">
        <v>46049.606944444444</v>
      </c>
      <c r="E570" s="548" t="s">
        <v>1651</v>
      </c>
      <c r="F570" s="548" t="s">
        <v>1769</v>
      </c>
    </row>
    <row r="571" spans="1:6" hidden="1" x14ac:dyDescent="0.35">
      <c r="A571" s="548" t="s">
        <v>1750</v>
      </c>
      <c r="B571" s="548" t="s">
        <v>1751</v>
      </c>
      <c r="C571" s="550">
        <v>46050.244444444441</v>
      </c>
      <c r="D571" s="550">
        <v>46050.643750000003</v>
      </c>
      <c r="E571" s="548" t="s">
        <v>1651</v>
      </c>
      <c r="F571" s="548" t="s">
        <v>1769</v>
      </c>
    </row>
    <row r="572" spans="1:6" hidden="1" x14ac:dyDescent="0.35">
      <c r="A572" s="548" t="s">
        <v>1750</v>
      </c>
      <c r="B572" s="548" t="s">
        <v>1751</v>
      </c>
      <c r="C572" s="550">
        <v>46050.672222222223</v>
      </c>
      <c r="D572" s="550">
        <v>46050.75277777778</v>
      </c>
      <c r="E572" s="548" t="s">
        <v>1763</v>
      </c>
      <c r="F572" s="548" t="s">
        <v>1769</v>
      </c>
    </row>
    <row r="573" spans="1:6" hidden="1" x14ac:dyDescent="0.35">
      <c r="A573" s="548" t="s">
        <v>1750</v>
      </c>
      <c r="B573" s="548" t="s">
        <v>1751</v>
      </c>
      <c r="C573" s="550">
        <v>46051.246527777781</v>
      </c>
      <c r="D573" s="550">
        <v>46051.619444444441</v>
      </c>
      <c r="E573" s="548" t="s">
        <v>1651</v>
      </c>
      <c r="F573" s="548" t="s">
        <v>1769</v>
      </c>
    </row>
    <row r="574" spans="1:6" hidden="1" x14ac:dyDescent="0.35">
      <c r="A574" s="548" t="s">
        <v>1750</v>
      </c>
      <c r="B574" s="548" t="s">
        <v>1751</v>
      </c>
      <c r="C574" s="550">
        <v>46052.25</v>
      </c>
      <c r="D574" s="550">
        <v>46052.327777777777</v>
      </c>
      <c r="E574" s="548" t="s">
        <v>1764</v>
      </c>
      <c r="F574" s="548" t="s">
        <v>1769</v>
      </c>
    </row>
    <row r="575" spans="1:6" hidden="1" x14ac:dyDescent="0.35">
      <c r="A575" s="548" t="s">
        <v>1750</v>
      </c>
      <c r="B575" s="548" t="s">
        <v>1751</v>
      </c>
      <c r="C575" s="550">
        <v>46052.361111111109</v>
      </c>
      <c r="D575" s="550">
        <v>46052.56527777778</v>
      </c>
      <c r="E575" s="548" t="s">
        <v>1666</v>
      </c>
      <c r="F575" s="548" t="s">
        <v>1769</v>
      </c>
    </row>
    <row r="576" spans="1:6" hidden="1" x14ac:dyDescent="0.35">
      <c r="A576" s="548" t="s">
        <v>1765</v>
      </c>
      <c r="B576" s="548" t="s">
        <v>1766</v>
      </c>
      <c r="C576" s="550">
        <v>46025.25</v>
      </c>
      <c r="D576" s="550">
        <v>46025.576388888891</v>
      </c>
      <c r="E576" s="548" t="s">
        <v>1767</v>
      </c>
      <c r="F576" s="548" t="s">
        <v>1769</v>
      </c>
    </row>
    <row r="577" spans="1:6" hidden="1" x14ac:dyDescent="0.35">
      <c r="A577" s="548" t="s">
        <v>1765</v>
      </c>
      <c r="B577" s="548" t="s">
        <v>1766</v>
      </c>
      <c r="C577" s="550">
        <v>46027.322222222225</v>
      </c>
      <c r="D577" s="550">
        <v>46027.709027777775</v>
      </c>
      <c r="E577" s="548" t="s">
        <v>1651</v>
      </c>
      <c r="F577" s="548" t="s">
        <v>1769</v>
      </c>
    </row>
    <row r="578" spans="1:6" hidden="1" x14ac:dyDescent="0.35">
      <c r="A578" s="548" t="s">
        <v>1765</v>
      </c>
      <c r="B578" s="548" t="s">
        <v>1766</v>
      </c>
      <c r="C578" s="550">
        <v>46028.321527777778</v>
      </c>
      <c r="D578" s="550">
        <v>46028.699305555558</v>
      </c>
      <c r="E578" s="548" t="s">
        <v>1651</v>
      </c>
      <c r="F578" s="548" t="s">
        <v>1769</v>
      </c>
    </row>
    <row r="579" spans="1:6" hidden="1" x14ac:dyDescent="0.35">
      <c r="A579" s="548" t="s">
        <v>1765</v>
      </c>
      <c r="B579" s="548" t="s">
        <v>1766</v>
      </c>
      <c r="C579" s="550">
        <v>46029.246527777781</v>
      </c>
      <c r="D579" s="550">
        <v>46029.625694444447</v>
      </c>
      <c r="E579" s="548" t="s">
        <v>1651</v>
      </c>
      <c r="F579" s="548" t="s">
        <v>1769</v>
      </c>
    </row>
    <row r="580" spans="1:6" hidden="1" x14ac:dyDescent="0.35">
      <c r="A580" s="548" t="s">
        <v>1765</v>
      </c>
      <c r="B580" s="548" t="s">
        <v>1766</v>
      </c>
      <c r="C580" s="550">
        <v>46030.243055555555</v>
      </c>
      <c r="D580" s="550">
        <v>46030.700694444444</v>
      </c>
      <c r="E580" s="548" t="s">
        <v>1651</v>
      </c>
      <c r="F580" s="548" t="s">
        <v>1769</v>
      </c>
    </row>
    <row r="581" spans="1:6" hidden="1" x14ac:dyDescent="0.35">
      <c r="A581" s="548" t="s">
        <v>1765</v>
      </c>
      <c r="B581" s="548" t="s">
        <v>1766</v>
      </c>
      <c r="C581" s="550">
        <v>46031.242361111108</v>
      </c>
      <c r="D581" s="550">
        <v>46031.574999999997</v>
      </c>
      <c r="E581" s="548" t="s">
        <v>1768</v>
      </c>
      <c r="F581" s="548" t="s">
        <v>1769</v>
      </c>
    </row>
    <row r="582" spans="1:6" hidden="1" x14ac:dyDescent="0.35">
      <c r="A582" s="548" t="s">
        <v>1765</v>
      </c>
      <c r="B582" s="548" t="s">
        <v>1766</v>
      </c>
      <c r="C582" s="550">
        <v>46032.255555555559</v>
      </c>
      <c r="D582" s="550">
        <v>46032.581944444442</v>
      </c>
      <c r="E582" s="548" t="s">
        <v>1767</v>
      </c>
      <c r="F582" s="548" t="s">
        <v>1769</v>
      </c>
    </row>
    <row r="583" spans="1:6" hidden="1" x14ac:dyDescent="0.35">
      <c r="A583" s="548" t="s">
        <v>1765</v>
      </c>
      <c r="B583" s="548" t="s">
        <v>1766</v>
      </c>
      <c r="C583" s="550">
        <v>46034.254861111112</v>
      </c>
      <c r="D583" s="550">
        <v>46034.7</v>
      </c>
      <c r="E583" s="548" t="s">
        <v>1651</v>
      </c>
      <c r="F583" s="548" t="s">
        <v>1769</v>
      </c>
    </row>
    <row r="584" spans="1:6" hidden="1" x14ac:dyDescent="0.35">
      <c r="A584" s="548" t="s">
        <v>1765</v>
      </c>
      <c r="B584" s="548" t="s">
        <v>1766</v>
      </c>
      <c r="C584" s="550">
        <v>46035.320833333331</v>
      </c>
      <c r="D584" s="550">
        <v>46035.699305555558</v>
      </c>
      <c r="E584" s="548" t="s">
        <v>1651</v>
      </c>
      <c r="F584" s="548" t="s">
        <v>1769</v>
      </c>
    </row>
    <row r="585" spans="1:6" hidden="1" x14ac:dyDescent="0.35">
      <c r="A585" s="548" t="s">
        <v>1765</v>
      </c>
      <c r="B585" s="548" t="s">
        <v>1766</v>
      </c>
      <c r="C585" s="550">
        <v>46036.318749999999</v>
      </c>
      <c r="D585" s="550">
        <v>46036.791666666664</v>
      </c>
      <c r="E585" s="548" t="s">
        <v>1651</v>
      </c>
      <c r="F585" s="548" t="s">
        <v>1769</v>
      </c>
    </row>
    <row r="586" spans="1:6" hidden="1" x14ac:dyDescent="0.35">
      <c r="A586" s="548" t="s">
        <v>1765</v>
      </c>
      <c r="B586" s="548" t="s">
        <v>1766</v>
      </c>
      <c r="C586" s="550">
        <v>46037.318055555559</v>
      </c>
      <c r="D586" s="550">
        <v>46037.905555555553</v>
      </c>
      <c r="E586" s="548" t="s">
        <v>1651</v>
      </c>
      <c r="F586" s="548" t="s">
        <v>1769</v>
      </c>
    </row>
    <row r="587" spans="1:6" hidden="1" x14ac:dyDescent="0.35">
      <c r="A587" s="548" t="s">
        <v>1765</v>
      </c>
      <c r="B587" s="548" t="s">
        <v>1766</v>
      </c>
      <c r="C587" s="550">
        <v>46038.236805555556</v>
      </c>
      <c r="D587" s="550">
        <v>46038.578472222223</v>
      </c>
      <c r="E587" s="548" t="s">
        <v>1651</v>
      </c>
      <c r="F587" s="548" t="s">
        <v>1769</v>
      </c>
    </row>
    <row r="588" spans="1:6" hidden="1" x14ac:dyDescent="0.35">
      <c r="A588" s="548" t="s">
        <v>1581</v>
      </c>
      <c r="B588" s="548" t="s">
        <v>1560</v>
      </c>
      <c r="C588" s="550">
        <v>46037.381249999999</v>
      </c>
      <c r="D588" s="549">
        <v>46037.637499999997</v>
      </c>
      <c r="E588" s="548" t="s">
        <v>1754</v>
      </c>
      <c r="F588" s="548" t="s">
        <v>1788</v>
      </c>
    </row>
    <row r="589" spans="1:6" hidden="1" x14ac:dyDescent="0.35">
      <c r="A589" s="548" t="s">
        <v>1581</v>
      </c>
      <c r="B589" s="548" t="s">
        <v>1560</v>
      </c>
      <c r="C589" s="550">
        <v>46038.347222222219</v>
      </c>
      <c r="D589" s="549">
        <v>46038.543749999997</v>
      </c>
      <c r="E589" s="548" t="s">
        <v>1770</v>
      </c>
      <c r="F589" s="548" t="s">
        <v>1788</v>
      </c>
    </row>
    <row r="590" spans="1:6" hidden="1" x14ac:dyDescent="0.35">
      <c r="A590" s="548" t="s">
        <v>1581</v>
      </c>
      <c r="B590" s="548" t="s">
        <v>1560</v>
      </c>
      <c r="C590" s="550">
        <v>46041.529166666667</v>
      </c>
      <c r="D590" s="549">
        <v>46041.552083333336</v>
      </c>
      <c r="E590" s="548" t="s">
        <v>1771</v>
      </c>
      <c r="F590" s="548" t="s">
        <v>1788</v>
      </c>
    </row>
    <row r="591" spans="1:6" hidden="1" x14ac:dyDescent="0.35">
      <c r="A591" s="548" t="s">
        <v>1581</v>
      </c>
      <c r="B591" s="548" t="s">
        <v>1560</v>
      </c>
      <c r="C591" s="550">
        <v>46043.333333333336</v>
      </c>
      <c r="D591" s="549">
        <v>46043.342361111114</v>
      </c>
      <c r="E591" s="548" t="s">
        <v>1694</v>
      </c>
      <c r="F591" s="548" t="s">
        <v>1788</v>
      </c>
    </row>
    <row r="592" spans="1:6" hidden="1" x14ac:dyDescent="0.35">
      <c r="A592" s="548" t="s">
        <v>1581</v>
      </c>
      <c r="B592" s="548" t="s">
        <v>1560</v>
      </c>
      <c r="C592" s="550">
        <v>46045.481249999997</v>
      </c>
      <c r="D592" s="549">
        <v>46045.511805555558</v>
      </c>
      <c r="E592" s="548" t="s">
        <v>1772</v>
      </c>
      <c r="F592" s="548" t="s">
        <v>1788</v>
      </c>
    </row>
    <row r="593" spans="1:6" x14ac:dyDescent="0.35">
      <c r="A593" s="548" t="s">
        <v>1582</v>
      </c>
      <c r="B593" s="548" t="s">
        <v>1561</v>
      </c>
      <c r="C593" s="572">
        <v>46080.29791666667</v>
      </c>
      <c r="D593" s="572">
        <v>46080.525694444441</v>
      </c>
      <c r="E593" s="571" t="s">
        <v>1818</v>
      </c>
      <c r="F593" s="571" t="s">
        <v>1008</v>
      </c>
    </row>
    <row r="594" spans="1:6" x14ac:dyDescent="0.35">
      <c r="A594" s="548" t="s">
        <v>1582</v>
      </c>
      <c r="B594" s="548" t="s">
        <v>1561</v>
      </c>
      <c r="C594" s="572">
        <v>46080.544444444444</v>
      </c>
      <c r="D594" s="572">
        <v>46080.568055555559</v>
      </c>
      <c r="E594" s="571" t="s">
        <v>1700</v>
      </c>
      <c r="F594" s="571" t="s">
        <v>1817</v>
      </c>
    </row>
    <row r="595" spans="1:6" x14ac:dyDescent="0.35">
      <c r="A595" s="548" t="s">
        <v>1582</v>
      </c>
      <c r="B595" s="548" t="s">
        <v>1561</v>
      </c>
      <c r="C595" s="551"/>
      <c r="D595" s="572">
        <v>46071.761111111111</v>
      </c>
      <c r="E595" s="571" t="s">
        <v>1645</v>
      </c>
      <c r="F595" s="571" t="s">
        <v>782</v>
      </c>
    </row>
    <row r="596" spans="1:6" x14ac:dyDescent="0.35">
      <c r="A596" s="548" t="s">
        <v>1582</v>
      </c>
      <c r="B596" s="548" t="s">
        <v>1561</v>
      </c>
      <c r="C596" s="551"/>
      <c r="D596" s="572">
        <v>46078.35833333333</v>
      </c>
      <c r="E596" s="571" t="s">
        <v>1645</v>
      </c>
      <c r="F596" s="571" t="s">
        <v>782</v>
      </c>
    </row>
    <row r="597" spans="1:6" x14ac:dyDescent="0.35">
      <c r="A597" s="548" t="s">
        <v>1582</v>
      </c>
      <c r="B597" s="548" t="s">
        <v>1561</v>
      </c>
      <c r="C597" s="551"/>
      <c r="D597" s="572">
        <v>46078.672222222223</v>
      </c>
      <c r="E597" s="571" t="s">
        <v>1645</v>
      </c>
      <c r="F597" s="571" t="s">
        <v>782</v>
      </c>
    </row>
    <row r="598" spans="1:6" x14ac:dyDescent="0.35">
      <c r="A598" s="548" t="s">
        <v>1582</v>
      </c>
      <c r="B598" s="548" t="s">
        <v>1561</v>
      </c>
      <c r="C598" s="551"/>
      <c r="D598" s="572">
        <v>46071.802777777775</v>
      </c>
      <c r="E598" s="571" t="s">
        <v>1645</v>
      </c>
      <c r="F598" s="571" t="s">
        <v>1008</v>
      </c>
    </row>
    <row r="599" spans="1:6" x14ac:dyDescent="0.35">
      <c r="A599" s="548" t="s">
        <v>1582</v>
      </c>
      <c r="B599" s="548" t="s">
        <v>1561</v>
      </c>
      <c r="C599" s="551"/>
      <c r="D599" s="572">
        <v>46078.712500000001</v>
      </c>
      <c r="E599" s="571" t="s">
        <v>1645</v>
      </c>
      <c r="F599" s="571" t="s">
        <v>1008</v>
      </c>
    </row>
    <row r="600" spans="1:6" x14ac:dyDescent="0.35">
      <c r="A600" s="548" t="s">
        <v>1582</v>
      </c>
      <c r="B600" s="548" t="s">
        <v>1561</v>
      </c>
      <c r="C600" s="551"/>
      <c r="D600" s="572">
        <v>46080.582638888889</v>
      </c>
      <c r="E600" s="571" t="s">
        <v>1645</v>
      </c>
      <c r="F600" s="571" t="s">
        <v>1008</v>
      </c>
    </row>
    <row r="601" spans="1:6" hidden="1" x14ac:dyDescent="0.35">
      <c r="A601" s="548" t="s">
        <v>1586</v>
      </c>
      <c r="B601" s="548" t="s">
        <v>1587</v>
      </c>
      <c r="C601" s="551"/>
      <c r="D601" s="551"/>
      <c r="E601" s="548" t="s">
        <v>1645</v>
      </c>
      <c r="F601" s="548" t="s">
        <v>1788</v>
      </c>
    </row>
    <row r="602" spans="1:6" hidden="1" x14ac:dyDescent="0.35">
      <c r="A602" s="548" t="s">
        <v>1586</v>
      </c>
      <c r="B602" s="548" t="s">
        <v>1587</v>
      </c>
      <c r="C602" s="550">
        <v>46035.539583333331</v>
      </c>
      <c r="D602" s="549">
        <v>46035.679861111108</v>
      </c>
      <c r="E602" s="548" t="s">
        <v>1773</v>
      </c>
      <c r="F602" s="548" t="s">
        <v>1788</v>
      </c>
    </row>
    <row r="603" spans="1:6" hidden="1" x14ac:dyDescent="0.35">
      <c r="A603" s="548" t="s">
        <v>1586</v>
      </c>
      <c r="B603" s="548" t="s">
        <v>1587</v>
      </c>
      <c r="C603" s="550">
        <v>46037.38958333333</v>
      </c>
      <c r="D603" s="549">
        <v>46037.637499999997</v>
      </c>
      <c r="E603" s="548" t="s">
        <v>1734</v>
      </c>
      <c r="F603" s="548" t="s">
        <v>1788</v>
      </c>
    </row>
    <row r="604" spans="1:6" hidden="1" x14ac:dyDescent="0.35">
      <c r="A604" s="548" t="s">
        <v>1586</v>
      </c>
      <c r="B604" s="548" t="s">
        <v>1587</v>
      </c>
      <c r="C604" s="550">
        <v>46038.347222222219</v>
      </c>
      <c r="D604" s="549">
        <v>46038.543055555558</v>
      </c>
      <c r="E604" s="548" t="s">
        <v>1691</v>
      </c>
      <c r="F604" s="548" t="s">
        <v>1788</v>
      </c>
    </row>
    <row r="605" spans="1:6" hidden="1" x14ac:dyDescent="0.35">
      <c r="A605" s="548" t="s">
        <v>1586</v>
      </c>
      <c r="B605" s="548" t="s">
        <v>1587</v>
      </c>
      <c r="C605" s="551"/>
      <c r="D605" s="551"/>
      <c r="E605" s="548" t="s">
        <v>1645</v>
      </c>
      <c r="F605" s="548" t="s">
        <v>1788</v>
      </c>
    </row>
    <row r="606" spans="1:6" hidden="1" x14ac:dyDescent="0.35">
      <c r="A606" s="548" t="s">
        <v>1586</v>
      </c>
      <c r="B606" s="548" t="s">
        <v>1587</v>
      </c>
      <c r="C606" s="550">
        <v>46049.647222222222</v>
      </c>
      <c r="D606" s="549">
        <v>46049.685416666667</v>
      </c>
      <c r="E606" s="548" t="s">
        <v>1778</v>
      </c>
      <c r="F606" s="548" t="s">
        <v>1788</v>
      </c>
    </row>
    <row r="607" spans="1:6" hidden="1" x14ac:dyDescent="0.35">
      <c r="A607" s="548" t="s">
        <v>1586</v>
      </c>
      <c r="B607" s="548" t="s">
        <v>1587</v>
      </c>
      <c r="C607" s="551"/>
      <c r="D607" s="551"/>
      <c r="E607" s="548" t="s">
        <v>1645</v>
      </c>
      <c r="F607" s="548" t="s">
        <v>1788</v>
      </c>
    </row>
    <row r="608" spans="1:6" hidden="1" x14ac:dyDescent="0.35">
      <c r="A608" s="548" t="s">
        <v>1586</v>
      </c>
      <c r="B608" s="548" t="s">
        <v>1587</v>
      </c>
      <c r="C608" s="551"/>
      <c r="D608" s="551"/>
      <c r="E608" s="548" t="s">
        <v>1645</v>
      </c>
      <c r="F608" s="548" t="s">
        <v>1788</v>
      </c>
    </row>
    <row r="609" spans="1:6" hidden="1" x14ac:dyDescent="0.35">
      <c r="A609" s="548" t="s">
        <v>1681</v>
      </c>
      <c r="B609" s="548" t="s">
        <v>1682</v>
      </c>
      <c r="C609" s="550">
        <v>46051.636805555558</v>
      </c>
      <c r="D609" s="549">
        <v>46051.677777777775</v>
      </c>
      <c r="E609" s="548" t="s">
        <v>1779</v>
      </c>
      <c r="F609" s="548" t="s">
        <v>1788</v>
      </c>
    </row>
    <row r="610" spans="1:6" hidden="1" x14ac:dyDescent="0.35">
      <c r="A610" s="548" t="s">
        <v>1681</v>
      </c>
      <c r="B610" s="548" t="s">
        <v>1682</v>
      </c>
      <c r="C610" s="550">
        <v>46052.410416666666</v>
      </c>
      <c r="D610" s="549">
        <v>46052.518750000003</v>
      </c>
      <c r="E610" s="548" t="s">
        <v>1780</v>
      </c>
      <c r="F610" s="548" t="s">
        <v>1788</v>
      </c>
    </row>
    <row r="611" spans="1:6" hidden="1" x14ac:dyDescent="0.35">
      <c r="A611" s="548" t="s">
        <v>1588</v>
      </c>
      <c r="B611" s="548" t="s">
        <v>1589</v>
      </c>
      <c r="C611" s="550">
        <v>46037.395833333336</v>
      </c>
      <c r="D611" s="549">
        <v>46037.636111111111</v>
      </c>
      <c r="E611" s="548" t="s">
        <v>1781</v>
      </c>
      <c r="F611" s="548" t="s">
        <v>1788</v>
      </c>
    </row>
    <row r="612" spans="1:6" hidden="1" x14ac:dyDescent="0.35">
      <c r="A612" s="548" t="s">
        <v>1588</v>
      </c>
      <c r="B612" s="548" t="s">
        <v>1589</v>
      </c>
      <c r="C612" s="550">
        <v>46041.52847222222</v>
      </c>
      <c r="D612" s="549">
        <v>46041.552083333336</v>
      </c>
      <c r="E612" s="548" t="s">
        <v>1700</v>
      </c>
      <c r="F612" s="548" t="s">
        <v>1788</v>
      </c>
    </row>
    <row r="613" spans="1:6" hidden="1" x14ac:dyDescent="0.35">
      <c r="A613" s="548" t="s">
        <v>1588</v>
      </c>
      <c r="B613" s="548" t="s">
        <v>1589</v>
      </c>
      <c r="C613" s="550">
        <v>46043.334027777775</v>
      </c>
      <c r="D613" s="549">
        <v>46043.342361111114</v>
      </c>
      <c r="E613" s="548" t="s">
        <v>1695</v>
      </c>
      <c r="F613" s="548" t="s">
        <v>1788</v>
      </c>
    </row>
    <row r="614" spans="1:6" hidden="1" x14ac:dyDescent="0.35">
      <c r="A614" s="548" t="s">
        <v>1588</v>
      </c>
      <c r="B614" s="548" t="s">
        <v>1589</v>
      </c>
      <c r="C614" s="550">
        <v>46045.481249999997</v>
      </c>
      <c r="D614" s="549">
        <v>46045.511805555558</v>
      </c>
      <c r="E614" s="548" t="s">
        <v>1772</v>
      </c>
      <c r="F614" s="548" t="s">
        <v>1788</v>
      </c>
    </row>
    <row r="615" spans="1:6" hidden="1" x14ac:dyDescent="0.35">
      <c r="A615" s="548" t="s">
        <v>1588</v>
      </c>
      <c r="B615" s="548" t="s">
        <v>1589</v>
      </c>
      <c r="C615" s="550">
        <v>46049.806250000001</v>
      </c>
      <c r="D615" s="549">
        <v>46049.870138888888</v>
      </c>
      <c r="E615" s="548" t="s">
        <v>1777</v>
      </c>
      <c r="F615" s="548" t="s">
        <v>1788</v>
      </c>
    </row>
    <row r="616" spans="1:6" hidden="1" x14ac:dyDescent="0.35">
      <c r="A616" s="548" t="s">
        <v>1588</v>
      </c>
      <c r="B616" s="548" t="s">
        <v>1589</v>
      </c>
      <c r="C616" s="550">
        <v>46050.329861111109</v>
      </c>
      <c r="D616" s="549">
        <v>46050.677777777775</v>
      </c>
      <c r="E616" s="548" t="s">
        <v>1651</v>
      </c>
      <c r="F616" s="548" t="s">
        <v>1788</v>
      </c>
    </row>
    <row r="617" spans="1:6" hidden="1" x14ac:dyDescent="0.35">
      <c r="A617" s="548" t="s">
        <v>1588</v>
      </c>
      <c r="B617" s="548" t="s">
        <v>1589</v>
      </c>
      <c r="C617" s="550">
        <v>46050.782638888886</v>
      </c>
      <c r="D617" s="549">
        <v>46050.818055555559</v>
      </c>
      <c r="E617" s="548" t="s">
        <v>1639</v>
      </c>
      <c r="F617" s="548" t="s">
        <v>1788</v>
      </c>
    </row>
    <row r="618" spans="1:6" hidden="1" x14ac:dyDescent="0.35">
      <c r="A618" s="548" t="s">
        <v>1588</v>
      </c>
      <c r="B618" s="548" t="s">
        <v>1589</v>
      </c>
      <c r="C618" s="550">
        <v>46051.623611111114</v>
      </c>
      <c r="D618" s="549">
        <v>46051.677777777775</v>
      </c>
      <c r="E618" s="548" t="s">
        <v>1690</v>
      </c>
      <c r="F618" s="548" t="s">
        <v>1788</v>
      </c>
    </row>
    <row r="619" spans="1:6" hidden="1" x14ac:dyDescent="0.35">
      <c r="A619" s="548" t="s">
        <v>1588</v>
      </c>
      <c r="B619" s="548" t="s">
        <v>1589</v>
      </c>
      <c r="C619" s="550">
        <v>46052.361805555556</v>
      </c>
      <c r="D619" s="549">
        <v>46052.650694444441</v>
      </c>
      <c r="E619" s="548" t="s">
        <v>1782</v>
      </c>
      <c r="F619" s="548" t="s">
        <v>1788</v>
      </c>
    </row>
    <row r="620" spans="1:6" hidden="1" x14ac:dyDescent="0.35">
      <c r="A620" s="548" t="s">
        <v>1585</v>
      </c>
      <c r="B620" s="548" t="s">
        <v>1564</v>
      </c>
      <c r="C620" s="550">
        <v>46044.513888888891</v>
      </c>
      <c r="D620" s="549">
        <v>46044.652083333334</v>
      </c>
      <c r="E620" s="548" t="s">
        <v>1783</v>
      </c>
      <c r="F620" s="548" t="s">
        <v>1788</v>
      </c>
    </row>
    <row r="621" spans="1:6" hidden="1" x14ac:dyDescent="0.35">
      <c r="A621" s="548" t="s">
        <v>1585</v>
      </c>
      <c r="B621" s="548" t="s">
        <v>1564</v>
      </c>
      <c r="C621" s="550">
        <v>46045.508333333331</v>
      </c>
      <c r="D621" s="549">
        <v>46045.549305555556</v>
      </c>
      <c r="E621" s="548" t="s">
        <v>1779</v>
      </c>
      <c r="F621" s="548" t="s">
        <v>1788</v>
      </c>
    </row>
    <row r="622" spans="1:6" hidden="1" x14ac:dyDescent="0.35">
      <c r="A622" s="548" t="s">
        <v>1585</v>
      </c>
      <c r="B622" s="548" t="s">
        <v>1564</v>
      </c>
      <c r="C622" s="550">
        <v>46049.806250000001</v>
      </c>
      <c r="D622" s="549">
        <v>46049.870138888888</v>
      </c>
      <c r="E622" s="548" t="s">
        <v>1777</v>
      </c>
      <c r="F622" s="548" t="s">
        <v>1788</v>
      </c>
    </row>
    <row r="623" spans="1:6" hidden="1" x14ac:dyDescent="0.35">
      <c r="A623" s="548" t="s">
        <v>1585</v>
      </c>
      <c r="B623" s="548" t="s">
        <v>1564</v>
      </c>
      <c r="C623" s="550">
        <v>46050.329861111109</v>
      </c>
      <c r="D623" s="549">
        <v>46050.426388888889</v>
      </c>
      <c r="E623" s="548" t="s">
        <v>1784</v>
      </c>
      <c r="F623" s="548" t="s">
        <v>1788</v>
      </c>
    </row>
    <row r="624" spans="1:6" hidden="1" x14ac:dyDescent="0.35">
      <c r="A624" s="548" t="s">
        <v>1585</v>
      </c>
      <c r="B624" s="548" t="s">
        <v>1564</v>
      </c>
      <c r="C624" s="550">
        <v>46050.445138888892</v>
      </c>
      <c r="D624" s="549">
        <v>46050.681944444441</v>
      </c>
      <c r="E624" s="548" t="s">
        <v>1785</v>
      </c>
      <c r="F624" s="548" t="s">
        <v>1788</v>
      </c>
    </row>
    <row r="625" spans="1:6" hidden="1" x14ac:dyDescent="0.35">
      <c r="A625" s="548" t="s">
        <v>1585</v>
      </c>
      <c r="B625" s="548" t="s">
        <v>1564</v>
      </c>
      <c r="C625" s="550">
        <v>46050.781944444447</v>
      </c>
      <c r="D625" s="549">
        <v>46050.818055555559</v>
      </c>
      <c r="E625" s="548" t="s">
        <v>1786</v>
      </c>
      <c r="F625" s="548" t="s">
        <v>1788</v>
      </c>
    </row>
    <row r="626" spans="1:6" hidden="1" x14ac:dyDescent="0.35">
      <c r="A626" s="548" t="s">
        <v>1585</v>
      </c>
      <c r="B626" s="548" t="s">
        <v>1564</v>
      </c>
      <c r="C626" s="551"/>
      <c r="D626" s="549">
        <v>46051.677083333336</v>
      </c>
      <c r="E626" s="548" t="s">
        <v>1645</v>
      </c>
      <c r="F626" s="548" t="s">
        <v>1788</v>
      </c>
    </row>
    <row r="627" spans="1:6" hidden="1" x14ac:dyDescent="0.35">
      <c r="A627" s="548" t="s">
        <v>1585</v>
      </c>
      <c r="B627" s="548" t="s">
        <v>1564</v>
      </c>
      <c r="C627" s="550">
        <v>46052.361111111109</v>
      </c>
      <c r="D627" s="549">
        <v>46052.651388888888</v>
      </c>
      <c r="E627" s="548" t="s">
        <v>1787</v>
      </c>
      <c r="F627" s="548" t="s">
        <v>1788</v>
      </c>
    </row>
  </sheetData>
  <autoFilter ref="A3:F627" xr:uid="{00000000-0009-0000-0000-00000A000000}">
    <filterColumn colId="1">
      <filters>
        <filter val="AREVALOS OSCAR"/>
      </filters>
    </filterColumn>
    <filterColumn colId="2">
      <filters blank="1">
        <dateGroupItem year="2026" month="2" dateTimeGrouping="month"/>
      </filters>
    </filterColumn>
  </autoFilter>
  <sortState xmlns:xlrd2="http://schemas.microsoft.com/office/spreadsheetml/2017/richdata2" ref="C4:F600">
    <sortCondition ref="C4:C600"/>
  </sortState>
  <mergeCells count="2">
    <mergeCell ref="A1:C1"/>
    <mergeCell ref="A2:B2"/>
  </mergeCells>
  <phoneticPr fontId="11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>
    <pageSetUpPr fitToPage="1"/>
  </sheetPr>
  <dimension ref="A1:T187"/>
  <sheetViews>
    <sheetView workbookViewId="0">
      <selection activeCell="P77" sqref="P77"/>
    </sheetView>
  </sheetViews>
  <sheetFormatPr baseColWidth="10" defaultColWidth="34.54296875" defaultRowHeight="12" outlineLevelCol="1" x14ac:dyDescent="0.3"/>
  <cols>
    <col min="1" max="1" width="13.453125" style="28" bestFit="1" customWidth="1"/>
    <col min="2" max="2" width="16.453125" style="28" bestFit="1" customWidth="1" outlineLevel="1"/>
    <col min="3" max="3" width="23.26953125" style="31" bestFit="1" customWidth="1" outlineLevel="1"/>
    <col min="4" max="4" width="11.26953125" style="28" hidden="1" customWidth="1" outlineLevel="1"/>
    <col min="5" max="5" width="37.26953125" style="31" bestFit="1" customWidth="1" outlineLevel="1"/>
    <col min="6" max="6" width="26.81640625" style="31" customWidth="1" outlineLevel="1"/>
    <col min="7" max="7" width="10.7265625" style="31" bestFit="1" customWidth="1"/>
    <col min="8" max="8" width="9" style="28" bestFit="1" customWidth="1"/>
    <col min="9" max="9" width="12.7265625" style="33" hidden="1" customWidth="1"/>
    <col min="10" max="10" width="13.453125" style="28" hidden="1" customWidth="1"/>
    <col min="11" max="11" width="13" style="28" hidden="1" customWidth="1"/>
    <col min="12" max="12" width="12.54296875" style="28" hidden="1" customWidth="1"/>
    <col min="13" max="13" width="14.26953125" style="28" hidden="1" customWidth="1"/>
    <col min="14" max="14" width="17.54296875" style="28" hidden="1" customWidth="1"/>
    <col min="15" max="15" width="14.81640625" style="28" bestFit="1" customWidth="1"/>
    <col min="16" max="16" width="12.453125" style="28" bestFit="1" customWidth="1"/>
    <col min="17" max="17" width="12" style="28" bestFit="1" customWidth="1"/>
    <col min="18" max="18" width="9" style="28" bestFit="1" customWidth="1"/>
    <col min="19" max="19" width="10.1796875" style="28" bestFit="1" customWidth="1"/>
    <col min="20" max="20" width="9.453125" style="28" bestFit="1" customWidth="1"/>
    <col min="21" max="16384" width="34.54296875" style="28"/>
  </cols>
  <sheetData>
    <row r="1" spans="1:20" s="25" customFormat="1" ht="10.5" customHeight="1" x14ac:dyDescent="0.3">
      <c r="A1" s="38" t="s">
        <v>1</v>
      </c>
      <c r="B1" s="14" t="s">
        <v>2</v>
      </c>
      <c r="C1" s="14" t="s">
        <v>3</v>
      </c>
      <c r="D1" s="14" t="s">
        <v>559</v>
      </c>
      <c r="E1" s="14" t="s">
        <v>4</v>
      </c>
      <c r="F1" s="14" t="s">
        <v>545</v>
      </c>
      <c r="G1" s="23" t="s">
        <v>0</v>
      </c>
      <c r="H1" s="14" t="s">
        <v>403</v>
      </c>
      <c r="I1" s="24">
        <v>43556</v>
      </c>
      <c r="J1" s="24">
        <v>43586</v>
      </c>
      <c r="K1" s="24">
        <v>43617</v>
      </c>
      <c r="L1" s="24">
        <v>43647</v>
      </c>
      <c r="M1" s="24">
        <v>43678</v>
      </c>
      <c r="N1" s="24">
        <v>43709</v>
      </c>
      <c r="O1" s="24">
        <v>43739</v>
      </c>
      <c r="P1" s="24">
        <v>43770</v>
      </c>
      <c r="Q1" s="24">
        <v>43800</v>
      </c>
      <c r="R1" s="24">
        <v>43831</v>
      </c>
      <c r="S1" s="24">
        <v>43862</v>
      </c>
      <c r="T1" s="24">
        <v>43891</v>
      </c>
    </row>
    <row r="2" spans="1:20" ht="10.5" hidden="1" customHeight="1" x14ac:dyDescent="0.3">
      <c r="A2" s="28">
        <v>10854101</v>
      </c>
      <c r="B2" s="26" t="s">
        <v>6</v>
      </c>
      <c r="C2" s="27" t="s">
        <v>26</v>
      </c>
      <c r="D2" s="26" t="s">
        <v>554</v>
      </c>
      <c r="E2" s="5" t="s">
        <v>687</v>
      </c>
      <c r="F2" s="31" t="s">
        <v>737</v>
      </c>
      <c r="G2" s="12" t="s">
        <v>44</v>
      </c>
      <c r="H2" s="26">
        <v>3</v>
      </c>
      <c r="I2" s="39"/>
      <c r="J2" s="29"/>
      <c r="K2" s="38"/>
      <c r="L2" s="29"/>
      <c r="M2" s="38"/>
      <c r="O2" s="28">
        <v>3</v>
      </c>
    </row>
    <row r="3" spans="1:20" ht="10.5" hidden="1" customHeight="1" x14ac:dyDescent="0.3">
      <c r="A3" s="28">
        <v>10854106</v>
      </c>
      <c r="B3" s="26" t="s">
        <v>6</v>
      </c>
      <c r="C3" s="27" t="s">
        <v>26</v>
      </c>
      <c r="D3" s="26" t="s">
        <v>554</v>
      </c>
      <c r="E3" s="5" t="s">
        <v>738</v>
      </c>
      <c r="F3" s="31" t="s">
        <v>739</v>
      </c>
      <c r="G3" s="12" t="s">
        <v>46</v>
      </c>
      <c r="H3" s="26">
        <v>3</v>
      </c>
      <c r="I3" s="39"/>
      <c r="J3" s="29"/>
      <c r="K3" s="38"/>
      <c r="L3" s="29"/>
      <c r="M3" s="38"/>
      <c r="O3" s="28">
        <v>3</v>
      </c>
    </row>
    <row r="4" spans="1:20" ht="10.5" hidden="1" customHeight="1" x14ac:dyDescent="0.3">
      <c r="A4" s="28">
        <v>10854123</v>
      </c>
      <c r="B4" s="26" t="s">
        <v>6</v>
      </c>
      <c r="C4" s="27" t="s">
        <v>26</v>
      </c>
      <c r="D4" s="26" t="s">
        <v>554</v>
      </c>
      <c r="E4" s="5" t="s">
        <v>684</v>
      </c>
      <c r="F4" s="31" t="s">
        <v>685</v>
      </c>
      <c r="G4" s="12" t="s">
        <v>27</v>
      </c>
      <c r="H4" s="26">
        <v>3</v>
      </c>
      <c r="I4" s="39"/>
      <c r="J4" s="29"/>
      <c r="K4" s="38"/>
      <c r="L4" s="29"/>
      <c r="M4" s="38"/>
      <c r="O4" s="28">
        <v>3</v>
      </c>
    </row>
    <row r="5" spans="1:20" ht="10.5" hidden="1" customHeight="1" x14ac:dyDescent="0.3">
      <c r="A5" s="28">
        <v>10854186</v>
      </c>
      <c r="B5" s="26" t="s">
        <v>6</v>
      </c>
      <c r="C5" s="27" t="s">
        <v>26</v>
      </c>
      <c r="D5" s="26" t="s">
        <v>554</v>
      </c>
      <c r="E5" s="5" t="s">
        <v>740</v>
      </c>
      <c r="F5" s="31" t="s">
        <v>741</v>
      </c>
      <c r="G5" s="12" t="s">
        <v>47</v>
      </c>
      <c r="H5" s="26">
        <v>3</v>
      </c>
      <c r="I5" s="39"/>
      <c r="J5" s="29"/>
      <c r="K5" s="38"/>
      <c r="L5" s="29"/>
      <c r="M5" s="38"/>
      <c r="O5" s="28">
        <v>3</v>
      </c>
    </row>
    <row r="6" spans="1:20" ht="10.5" hidden="1" customHeight="1" x14ac:dyDescent="0.3">
      <c r="A6" s="28">
        <v>10854188</v>
      </c>
      <c r="B6" s="26" t="s">
        <v>6</v>
      </c>
      <c r="C6" s="27" t="s">
        <v>26</v>
      </c>
      <c r="D6" s="26" t="s">
        <v>554</v>
      </c>
      <c r="E6" s="5" t="s">
        <v>742</v>
      </c>
      <c r="F6" s="31" t="s">
        <v>743</v>
      </c>
      <c r="G6" s="12" t="s">
        <v>416</v>
      </c>
      <c r="H6" s="26">
        <v>3</v>
      </c>
      <c r="I6" s="39"/>
      <c r="J6" s="29"/>
      <c r="K6" s="38"/>
      <c r="L6" s="29"/>
      <c r="M6" s="38"/>
      <c r="O6" s="28">
        <v>3</v>
      </c>
    </row>
    <row r="7" spans="1:20" ht="10.5" hidden="1" customHeight="1" x14ac:dyDescent="0.3">
      <c r="A7" s="28">
        <v>10854202</v>
      </c>
      <c r="B7" s="26" t="s">
        <v>6</v>
      </c>
      <c r="C7" s="27" t="s">
        <v>26</v>
      </c>
      <c r="D7" s="26" t="s">
        <v>554</v>
      </c>
      <c r="E7" s="5" t="s">
        <v>745</v>
      </c>
      <c r="F7" s="31" t="s">
        <v>744</v>
      </c>
      <c r="G7" s="12" t="s">
        <v>417</v>
      </c>
      <c r="H7" s="26">
        <v>3</v>
      </c>
      <c r="I7" s="39"/>
      <c r="J7" s="29"/>
      <c r="K7" s="38"/>
      <c r="L7" s="29"/>
      <c r="M7" s="38"/>
      <c r="O7" s="28">
        <v>3</v>
      </c>
    </row>
    <row r="8" spans="1:20" ht="10.5" hidden="1" customHeight="1" x14ac:dyDescent="0.3">
      <c r="A8" s="28">
        <v>10854203</v>
      </c>
      <c r="B8" s="26" t="s">
        <v>6</v>
      </c>
      <c r="C8" s="27" t="s">
        <v>26</v>
      </c>
      <c r="D8" s="26" t="s">
        <v>554</v>
      </c>
      <c r="E8" s="5" t="s">
        <v>746</v>
      </c>
      <c r="F8" s="31" t="s">
        <v>747</v>
      </c>
      <c r="G8" s="12" t="s">
        <v>29</v>
      </c>
      <c r="H8" s="26">
        <v>3</v>
      </c>
      <c r="I8" s="39"/>
      <c r="J8" s="29"/>
      <c r="K8" s="38"/>
      <c r="L8" s="29"/>
      <c r="M8" s="38"/>
      <c r="O8" s="28">
        <v>3</v>
      </c>
    </row>
    <row r="9" spans="1:20" ht="10.5" hidden="1" customHeight="1" x14ac:dyDescent="0.3">
      <c r="A9" s="28">
        <v>10854204</v>
      </c>
      <c r="B9" s="26" t="s">
        <v>6</v>
      </c>
      <c r="C9" s="27" t="s">
        <v>26</v>
      </c>
      <c r="D9" s="26" t="s">
        <v>554</v>
      </c>
      <c r="E9" s="5" t="s">
        <v>748</v>
      </c>
      <c r="F9" s="31" t="s">
        <v>749</v>
      </c>
      <c r="G9" s="12" t="s">
        <v>31</v>
      </c>
      <c r="H9" s="26">
        <v>3</v>
      </c>
      <c r="I9" s="39"/>
      <c r="J9" s="29"/>
      <c r="K9" s="38"/>
      <c r="L9" s="29"/>
      <c r="M9" s="38"/>
      <c r="O9" s="28">
        <v>3</v>
      </c>
    </row>
    <row r="10" spans="1:20" ht="10.5" hidden="1" customHeight="1" x14ac:dyDescent="0.3">
      <c r="A10" s="28">
        <v>10854205</v>
      </c>
      <c r="B10" s="26" t="s">
        <v>6</v>
      </c>
      <c r="C10" s="27" t="s">
        <v>26</v>
      </c>
      <c r="D10" s="26" t="s">
        <v>554</v>
      </c>
      <c r="E10" s="5" t="s">
        <v>750</v>
      </c>
      <c r="F10" s="31" t="s">
        <v>751</v>
      </c>
      <c r="G10" s="12" t="s">
        <v>34</v>
      </c>
      <c r="H10" s="26">
        <v>3</v>
      </c>
      <c r="I10" s="39"/>
      <c r="J10" s="29"/>
      <c r="K10" s="38"/>
      <c r="L10" s="29"/>
      <c r="M10" s="38"/>
      <c r="O10" s="28">
        <v>3</v>
      </c>
    </row>
    <row r="11" spans="1:20" ht="10.5" hidden="1" customHeight="1" x14ac:dyDescent="0.3">
      <c r="A11" s="28">
        <v>10854206</v>
      </c>
      <c r="B11" s="26" t="s">
        <v>6</v>
      </c>
      <c r="C11" s="27" t="s">
        <v>26</v>
      </c>
      <c r="D11" s="26" t="s">
        <v>554</v>
      </c>
      <c r="E11" s="5" t="s">
        <v>752</v>
      </c>
      <c r="F11" s="31" t="s">
        <v>753</v>
      </c>
      <c r="G11" s="12" t="s">
        <v>35</v>
      </c>
      <c r="H11" s="26">
        <v>3</v>
      </c>
      <c r="I11" s="39"/>
      <c r="J11" s="29"/>
      <c r="K11" s="38"/>
      <c r="L11" s="29"/>
      <c r="M11" s="38"/>
      <c r="O11" s="28">
        <v>3</v>
      </c>
    </row>
    <row r="12" spans="1:20" ht="10.5" hidden="1" customHeight="1" x14ac:dyDescent="0.3">
      <c r="A12" s="28">
        <v>10854207</v>
      </c>
      <c r="B12" s="26" t="s">
        <v>6</v>
      </c>
      <c r="C12" s="27" t="s">
        <v>49</v>
      </c>
      <c r="D12" s="26" t="s">
        <v>554</v>
      </c>
      <c r="E12" s="5" t="s">
        <v>754</v>
      </c>
      <c r="F12" s="31" t="s">
        <v>755</v>
      </c>
      <c r="G12" s="12" t="s">
        <v>48</v>
      </c>
      <c r="H12" s="26">
        <v>3</v>
      </c>
      <c r="I12" s="39"/>
      <c r="J12" s="29"/>
      <c r="K12" s="38"/>
      <c r="L12" s="29"/>
      <c r="M12" s="38"/>
      <c r="O12" s="28">
        <v>3</v>
      </c>
    </row>
    <row r="13" spans="1:20" ht="10.5" hidden="1" customHeight="1" x14ac:dyDescent="0.3">
      <c r="A13" s="28">
        <v>10854208</v>
      </c>
      <c r="B13" s="30" t="s">
        <v>6</v>
      </c>
      <c r="C13" s="27" t="s">
        <v>49</v>
      </c>
      <c r="D13" s="26" t="s">
        <v>554</v>
      </c>
      <c r="E13" s="5" t="s">
        <v>756</v>
      </c>
      <c r="F13" s="31" t="s">
        <v>757</v>
      </c>
      <c r="G13" s="12" t="s">
        <v>61</v>
      </c>
      <c r="H13" s="26">
        <v>3</v>
      </c>
      <c r="I13" s="39"/>
      <c r="J13" s="29"/>
      <c r="K13" s="38"/>
      <c r="L13" s="29"/>
      <c r="M13" s="38"/>
      <c r="O13" s="28">
        <v>3</v>
      </c>
    </row>
    <row r="14" spans="1:20" ht="10.5" hidden="1" customHeight="1" x14ac:dyDescent="0.3">
      <c r="A14" s="28">
        <v>10854209</v>
      </c>
      <c r="B14" s="30" t="s">
        <v>6</v>
      </c>
      <c r="C14" s="27" t="s">
        <v>49</v>
      </c>
      <c r="D14" s="26" t="s">
        <v>554</v>
      </c>
      <c r="E14" s="5" t="s">
        <v>758</v>
      </c>
      <c r="F14" s="31" t="s">
        <v>759</v>
      </c>
      <c r="G14" s="12" t="s">
        <v>63</v>
      </c>
      <c r="H14" s="26">
        <v>3</v>
      </c>
      <c r="I14" s="39"/>
      <c r="J14" s="29"/>
      <c r="K14" s="38"/>
      <c r="L14" s="29"/>
      <c r="M14" s="38"/>
      <c r="O14" s="28">
        <v>3</v>
      </c>
    </row>
    <row r="15" spans="1:20" ht="10.5" hidden="1" customHeight="1" x14ac:dyDescent="0.3">
      <c r="A15" s="28">
        <v>10854231</v>
      </c>
      <c r="B15" s="30" t="s">
        <v>6</v>
      </c>
      <c r="C15" s="27" t="s">
        <v>49</v>
      </c>
      <c r="D15" s="26" t="s">
        <v>554</v>
      </c>
      <c r="E15" s="5" t="s">
        <v>760</v>
      </c>
      <c r="F15" s="31" t="s">
        <v>761</v>
      </c>
      <c r="G15" s="12" t="s">
        <v>64</v>
      </c>
      <c r="H15" s="26">
        <v>3</v>
      </c>
      <c r="I15" s="39"/>
      <c r="J15" s="29"/>
      <c r="K15" s="38"/>
      <c r="L15" s="29"/>
      <c r="M15" s="38"/>
      <c r="O15" s="28">
        <v>3</v>
      </c>
    </row>
    <row r="16" spans="1:20" ht="10.5" hidden="1" customHeight="1" x14ac:dyDescent="0.3">
      <c r="A16" s="28">
        <v>10854232</v>
      </c>
      <c r="B16" s="26" t="s">
        <v>6</v>
      </c>
      <c r="C16" s="27" t="s">
        <v>49</v>
      </c>
      <c r="D16" s="26" t="s">
        <v>554</v>
      </c>
      <c r="E16" s="5" t="s">
        <v>762</v>
      </c>
      <c r="F16" s="31" t="s">
        <v>763</v>
      </c>
      <c r="G16" s="12" t="s">
        <v>51</v>
      </c>
      <c r="H16" s="26">
        <v>3</v>
      </c>
      <c r="I16" s="39"/>
      <c r="J16" s="29"/>
      <c r="K16" s="38"/>
      <c r="L16" s="29"/>
      <c r="M16" s="38"/>
      <c r="O16" s="28">
        <v>3</v>
      </c>
    </row>
    <row r="17" spans="1:16" ht="10.5" hidden="1" customHeight="1" x14ac:dyDescent="0.3">
      <c r="A17" s="28" t="s">
        <v>5</v>
      </c>
      <c r="B17" s="26" t="s">
        <v>6</v>
      </c>
      <c r="C17" s="27" t="s">
        <v>49</v>
      </c>
      <c r="D17" s="26" t="s">
        <v>554</v>
      </c>
      <c r="E17" s="5" t="s">
        <v>53</v>
      </c>
      <c r="G17" s="12" t="s">
        <v>52</v>
      </c>
      <c r="H17" s="26">
        <v>3</v>
      </c>
      <c r="I17" s="39"/>
      <c r="J17" s="29"/>
      <c r="K17" s="38"/>
      <c r="L17" s="29"/>
      <c r="M17" s="38"/>
      <c r="O17" s="28">
        <v>3</v>
      </c>
    </row>
    <row r="18" spans="1:16" ht="10.5" hidden="1" customHeight="1" x14ac:dyDescent="0.3">
      <c r="A18" s="28" t="s">
        <v>5</v>
      </c>
      <c r="B18" s="26" t="s">
        <v>6</v>
      </c>
      <c r="C18" s="27" t="s">
        <v>49</v>
      </c>
      <c r="D18" s="26" t="s">
        <v>554</v>
      </c>
      <c r="E18" s="5" t="s">
        <v>55</v>
      </c>
      <c r="G18" s="12" t="s">
        <v>54</v>
      </c>
      <c r="H18" s="26">
        <v>3</v>
      </c>
      <c r="I18" s="39"/>
      <c r="J18" s="29"/>
      <c r="K18" s="38"/>
      <c r="L18" s="29"/>
      <c r="M18" s="38"/>
      <c r="O18" s="28">
        <v>3</v>
      </c>
    </row>
    <row r="19" spans="1:16" ht="10.5" hidden="1" customHeight="1" x14ac:dyDescent="0.3">
      <c r="A19" s="28" t="s">
        <v>5</v>
      </c>
      <c r="B19" s="26" t="s">
        <v>6</v>
      </c>
      <c r="C19" s="27" t="s">
        <v>49</v>
      </c>
      <c r="D19" s="26" t="s">
        <v>554</v>
      </c>
      <c r="E19" s="5" t="s">
        <v>364</v>
      </c>
      <c r="G19" s="12" t="s">
        <v>424</v>
      </c>
      <c r="H19" s="26">
        <v>3</v>
      </c>
      <c r="I19" s="39"/>
      <c r="J19" s="29"/>
      <c r="K19" s="38"/>
      <c r="L19" s="29"/>
      <c r="M19" s="38"/>
      <c r="O19" s="28">
        <v>3</v>
      </c>
    </row>
    <row r="20" spans="1:16" ht="10.5" hidden="1" customHeight="1" x14ac:dyDescent="0.3">
      <c r="A20" s="28" t="s">
        <v>5</v>
      </c>
      <c r="B20" s="30" t="s">
        <v>6</v>
      </c>
      <c r="C20" s="27" t="s">
        <v>49</v>
      </c>
      <c r="D20" s="26" t="s">
        <v>554</v>
      </c>
      <c r="E20" s="5" t="s">
        <v>366</v>
      </c>
      <c r="G20" s="12" t="s">
        <v>58</v>
      </c>
      <c r="H20" s="26">
        <v>3</v>
      </c>
      <c r="I20" s="39"/>
      <c r="J20" s="29"/>
      <c r="K20" s="38"/>
      <c r="L20" s="29"/>
      <c r="M20" s="38"/>
      <c r="P20" s="28">
        <v>3</v>
      </c>
    </row>
    <row r="21" spans="1:16" ht="10.5" hidden="1" customHeight="1" x14ac:dyDescent="0.3">
      <c r="A21" s="28" t="s">
        <v>5</v>
      </c>
      <c r="B21" s="30" t="s">
        <v>6</v>
      </c>
      <c r="C21" s="27" t="s">
        <v>49</v>
      </c>
      <c r="D21" s="26" t="s">
        <v>554</v>
      </c>
      <c r="E21" s="5" t="s">
        <v>367</v>
      </c>
      <c r="G21" s="12" t="s">
        <v>59</v>
      </c>
      <c r="H21" s="26">
        <v>3</v>
      </c>
      <c r="I21" s="39"/>
      <c r="J21" s="29"/>
      <c r="K21" s="38"/>
      <c r="L21" s="29"/>
      <c r="M21" s="38"/>
      <c r="P21" s="28">
        <v>3</v>
      </c>
    </row>
    <row r="22" spans="1:16" ht="10.5" hidden="1" customHeight="1" x14ac:dyDescent="0.3">
      <c r="A22" s="38" t="s">
        <v>5</v>
      </c>
      <c r="B22" s="6" t="s">
        <v>6</v>
      </c>
      <c r="C22" s="5" t="s">
        <v>68</v>
      </c>
      <c r="D22" s="26" t="s">
        <v>554</v>
      </c>
      <c r="E22" s="5" t="s">
        <v>373</v>
      </c>
      <c r="G22" s="12" t="s">
        <v>69</v>
      </c>
      <c r="H22" s="30">
        <v>2</v>
      </c>
      <c r="I22" s="39"/>
      <c r="J22" s="29"/>
      <c r="K22" s="38"/>
      <c r="L22" s="29"/>
      <c r="M22" s="38"/>
    </row>
    <row r="23" spans="1:16" ht="10.5" customHeight="1" x14ac:dyDescent="0.3">
      <c r="A23" s="38" t="s">
        <v>5</v>
      </c>
      <c r="B23" s="4" t="s">
        <v>6</v>
      </c>
      <c r="C23" s="3" t="s">
        <v>174</v>
      </c>
      <c r="D23" s="26" t="s">
        <v>554</v>
      </c>
      <c r="E23" s="3" t="s">
        <v>462</v>
      </c>
      <c r="F23" s="3" t="s">
        <v>463</v>
      </c>
      <c r="G23" s="12" t="s">
        <v>177</v>
      </c>
      <c r="H23" s="1">
        <v>1</v>
      </c>
      <c r="I23" s="39">
        <v>1</v>
      </c>
      <c r="J23" s="29">
        <v>1</v>
      </c>
      <c r="K23" s="38">
        <v>1</v>
      </c>
      <c r="L23" s="29">
        <v>1</v>
      </c>
      <c r="M23" s="38">
        <v>1</v>
      </c>
    </row>
    <row r="24" spans="1:16" ht="10.5" customHeight="1" x14ac:dyDescent="0.3">
      <c r="A24" s="38" t="s">
        <v>5</v>
      </c>
      <c r="B24" s="4" t="s">
        <v>6</v>
      </c>
      <c r="C24" s="3" t="s">
        <v>174</v>
      </c>
      <c r="D24" s="26" t="s">
        <v>554</v>
      </c>
      <c r="E24" s="3" t="s">
        <v>464</v>
      </c>
      <c r="F24" s="3" t="s">
        <v>465</v>
      </c>
      <c r="G24" s="12" t="s">
        <v>178</v>
      </c>
      <c r="H24" s="1">
        <v>1</v>
      </c>
      <c r="I24" s="39">
        <v>1</v>
      </c>
      <c r="J24" s="29">
        <v>1</v>
      </c>
      <c r="K24" s="38">
        <v>1</v>
      </c>
      <c r="L24" s="29">
        <v>1</v>
      </c>
      <c r="M24" s="38">
        <v>1</v>
      </c>
    </row>
    <row r="25" spans="1:16" ht="10.5" customHeight="1" x14ac:dyDescent="0.3">
      <c r="A25" s="38" t="s">
        <v>5</v>
      </c>
      <c r="B25" s="4" t="s">
        <v>6</v>
      </c>
      <c r="C25" s="3" t="s">
        <v>174</v>
      </c>
      <c r="D25" s="26" t="s">
        <v>554</v>
      </c>
      <c r="E25" s="3" t="s">
        <v>466</v>
      </c>
      <c r="F25" s="3" t="s">
        <v>467</v>
      </c>
      <c r="G25" s="12" t="s">
        <v>179</v>
      </c>
      <c r="H25" s="1">
        <v>1</v>
      </c>
      <c r="I25" s="39">
        <v>1</v>
      </c>
      <c r="J25" s="29">
        <v>1</v>
      </c>
      <c r="K25" s="38">
        <v>1</v>
      </c>
      <c r="L25" s="29">
        <v>1</v>
      </c>
      <c r="M25" s="38">
        <v>1</v>
      </c>
    </row>
    <row r="26" spans="1:16" ht="10.5" customHeight="1" x14ac:dyDescent="0.3">
      <c r="A26" s="38" t="s">
        <v>5</v>
      </c>
      <c r="B26" s="4" t="s">
        <v>6</v>
      </c>
      <c r="C26" s="3" t="s">
        <v>174</v>
      </c>
      <c r="D26" s="26" t="s">
        <v>554</v>
      </c>
      <c r="E26" s="3" t="s">
        <v>468</v>
      </c>
      <c r="F26" s="3" t="s">
        <v>469</v>
      </c>
      <c r="G26" s="12" t="s">
        <v>180</v>
      </c>
      <c r="H26" s="1">
        <v>1</v>
      </c>
      <c r="I26" s="39">
        <v>1</v>
      </c>
      <c r="J26" s="29">
        <v>1</v>
      </c>
      <c r="K26" s="38">
        <v>1</v>
      </c>
      <c r="L26" s="29">
        <v>1</v>
      </c>
      <c r="M26" s="38">
        <v>1</v>
      </c>
    </row>
    <row r="27" spans="1:16" ht="10.5" customHeight="1" x14ac:dyDescent="0.3">
      <c r="A27" s="38" t="s">
        <v>5</v>
      </c>
      <c r="B27" s="4" t="s">
        <v>6</v>
      </c>
      <c r="C27" s="3" t="s">
        <v>174</v>
      </c>
      <c r="D27" s="26" t="s">
        <v>554</v>
      </c>
      <c r="E27" s="3" t="s">
        <v>470</v>
      </c>
      <c r="F27" s="3" t="s">
        <v>471</v>
      </c>
      <c r="G27" s="12" t="s">
        <v>181</v>
      </c>
      <c r="H27" s="1">
        <v>1</v>
      </c>
      <c r="I27" s="39">
        <v>1</v>
      </c>
      <c r="J27" s="29">
        <v>1</v>
      </c>
      <c r="K27" s="38">
        <v>1</v>
      </c>
      <c r="L27" s="29">
        <v>1</v>
      </c>
      <c r="M27" s="38">
        <v>1</v>
      </c>
    </row>
    <row r="28" spans="1:16" ht="10.5" customHeight="1" x14ac:dyDescent="0.3">
      <c r="A28" s="38" t="s">
        <v>5</v>
      </c>
      <c r="B28" s="35" t="s">
        <v>6</v>
      </c>
      <c r="C28" s="36" t="s">
        <v>174</v>
      </c>
      <c r="D28" s="34" t="s">
        <v>554</v>
      </c>
      <c r="E28" s="36" t="s">
        <v>591</v>
      </c>
      <c r="F28" s="36" t="s">
        <v>589</v>
      </c>
      <c r="G28" s="12" t="s">
        <v>590</v>
      </c>
      <c r="H28" s="37">
        <v>1</v>
      </c>
      <c r="I28" s="39"/>
      <c r="J28" s="29"/>
      <c r="K28" s="38">
        <v>1</v>
      </c>
      <c r="L28" s="29">
        <v>1</v>
      </c>
      <c r="M28" s="38">
        <v>1</v>
      </c>
    </row>
    <row r="29" spans="1:16" ht="10.5" hidden="1" customHeight="1" x14ac:dyDescent="0.3">
      <c r="A29" s="28" t="s">
        <v>5</v>
      </c>
      <c r="B29" s="4" t="s">
        <v>6</v>
      </c>
      <c r="C29" s="3" t="s">
        <v>398</v>
      </c>
      <c r="D29" s="26" t="s">
        <v>554</v>
      </c>
      <c r="E29" s="3" t="s">
        <v>640</v>
      </c>
      <c r="F29" s="31" t="s">
        <v>641</v>
      </c>
      <c r="G29" s="12" t="s">
        <v>428</v>
      </c>
      <c r="H29" s="26">
        <v>3</v>
      </c>
      <c r="I29" s="39"/>
      <c r="J29" s="29"/>
      <c r="K29" s="38"/>
      <c r="L29" s="29"/>
      <c r="M29" s="38"/>
      <c r="P29" s="28">
        <v>3</v>
      </c>
    </row>
    <row r="30" spans="1:16" ht="10.5" hidden="1" customHeight="1" x14ac:dyDescent="0.3">
      <c r="A30" s="38" t="s">
        <v>5</v>
      </c>
      <c r="B30" s="6" t="s">
        <v>6</v>
      </c>
      <c r="C30" s="5" t="s">
        <v>374</v>
      </c>
      <c r="D30" s="26" t="s">
        <v>554</v>
      </c>
      <c r="E30" s="31" t="s">
        <v>688</v>
      </c>
      <c r="F30" s="5" t="s">
        <v>375</v>
      </c>
      <c r="G30" s="12" t="s">
        <v>71</v>
      </c>
      <c r="H30" s="30">
        <v>2</v>
      </c>
      <c r="I30" s="39"/>
      <c r="J30" s="29"/>
      <c r="K30" s="38"/>
      <c r="L30" s="29"/>
      <c r="M30" s="38"/>
      <c r="N30" s="28">
        <v>2</v>
      </c>
    </row>
    <row r="31" spans="1:16" ht="10.5" hidden="1" customHeight="1" x14ac:dyDescent="0.3">
      <c r="A31" s="38" t="s">
        <v>5</v>
      </c>
      <c r="B31" s="6" t="s">
        <v>6</v>
      </c>
      <c r="C31" s="5" t="s">
        <v>374</v>
      </c>
      <c r="D31" s="26" t="s">
        <v>554</v>
      </c>
      <c r="E31" s="31" t="s">
        <v>689</v>
      </c>
      <c r="F31" s="5" t="s">
        <v>376</v>
      </c>
      <c r="G31" s="12" t="s">
        <v>72</v>
      </c>
      <c r="H31" s="30">
        <v>2</v>
      </c>
      <c r="I31" s="39"/>
      <c r="J31" s="29"/>
      <c r="K31" s="38"/>
      <c r="L31" s="29"/>
      <c r="M31" s="38"/>
      <c r="N31" s="28">
        <v>2</v>
      </c>
    </row>
    <row r="32" spans="1:16" ht="10.5" hidden="1" customHeight="1" x14ac:dyDescent="0.3">
      <c r="A32" s="38" t="s">
        <v>5</v>
      </c>
      <c r="B32" s="6" t="s">
        <v>6</v>
      </c>
      <c r="C32" s="5" t="s">
        <v>374</v>
      </c>
      <c r="D32" s="26" t="s">
        <v>554</v>
      </c>
      <c r="E32" s="31" t="s">
        <v>690</v>
      </c>
      <c r="F32" s="5" t="s">
        <v>377</v>
      </c>
      <c r="G32" s="12" t="s">
        <v>73</v>
      </c>
      <c r="H32" s="30">
        <v>2</v>
      </c>
      <c r="I32" s="39"/>
      <c r="J32" s="29"/>
      <c r="K32" s="38"/>
      <c r="L32" s="29"/>
      <c r="M32" s="38"/>
      <c r="N32" s="28">
        <v>2</v>
      </c>
    </row>
    <row r="33" spans="1:16" ht="10.5" hidden="1" customHeight="1" x14ac:dyDescent="0.3">
      <c r="A33" s="28" t="s">
        <v>5</v>
      </c>
      <c r="B33" s="30" t="s">
        <v>6</v>
      </c>
      <c r="C33" s="5" t="s">
        <v>9</v>
      </c>
      <c r="D33" s="26" t="s">
        <v>554</v>
      </c>
      <c r="E33" s="5" t="s">
        <v>10</v>
      </c>
      <c r="G33" s="12" t="s">
        <v>8</v>
      </c>
      <c r="H33" s="26">
        <v>3</v>
      </c>
      <c r="I33" s="39"/>
      <c r="J33" s="29"/>
      <c r="K33" s="38"/>
      <c r="L33" s="29"/>
      <c r="M33" s="38"/>
      <c r="P33" s="28">
        <v>3</v>
      </c>
    </row>
    <row r="34" spans="1:16" ht="10.5" hidden="1" customHeight="1" x14ac:dyDescent="0.3">
      <c r="A34" s="28" t="s">
        <v>5</v>
      </c>
      <c r="B34" s="30" t="s">
        <v>6</v>
      </c>
      <c r="C34" s="5" t="s">
        <v>9</v>
      </c>
      <c r="D34" s="26" t="s">
        <v>554</v>
      </c>
      <c r="E34" s="5" t="s">
        <v>10</v>
      </c>
      <c r="G34" s="12" t="s">
        <v>11</v>
      </c>
      <c r="H34" s="26">
        <v>3</v>
      </c>
      <c r="I34" s="39"/>
      <c r="J34" s="29"/>
      <c r="K34" s="38"/>
      <c r="L34" s="29"/>
      <c r="M34" s="38"/>
      <c r="P34" s="28">
        <v>3</v>
      </c>
    </row>
    <row r="35" spans="1:16" ht="10.5" hidden="1" customHeight="1" x14ac:dyDescent="0.3">
      <c r="A35" s="28" t="s">
        <v>5</v>
      </c>
      <c r="B35" s="30" t="s">
        <v>6</v>
      </c>
      <c r="C35" s="5" t="s">
        <v>9</v>
      </c>
      <c r="D35" s="26" t="s">
        <v>554</v>
      </c>
      <c r="E35" s="5" t="s">
        <v>13</v>
      </c>
      <c r="G35" s="12" t="s">
        <v>12</v>
      </c>
      <c r="H35" s="26">
        <v>3</v>
      </c>
      <c r="I35" s="39"/>
      <c r="J35" s="29"/>
      <c r="K35" s="38"/>
      <c r="L35" s="29"/>
      <c r="M35" s="38"/>
      <c r="P35" s="28">
        <v>3</v>
      </c>
    </row>
    <row r="36" spans="1:16" ht="10.5" hidden="1" customHeight="1" x14ac:dyDescent="0.3">
      <c r="A36" s="28" t="s">
        <v>5</v>
      </c>
      <c r="B36" s="30" t="s">
        <v>6</v>
      </c>
      <c r="C36" s="5" t="s">
        <v>9</v>
      </c>
      <c r="D36" s="26" t="s">
        <v>554</v>
      </c>
      <c r="E36" s="5" t="s">
        <v>15</v>
      </c>
      <c r="G36" s="12" t="s">
        <v>14</v>
      </c>
      <c r="H36" s="26">
        <v>3</v>
      </c>
      <c r="I36" s="39"/>
      <c r="J36" s="29"/>
      <c r="K36" s="38"/>
      <c r="L36" s="29"/>
      <c r="M36" s="38"/>
      <c r="P36" s="28">
        <v>3</v>
      </c>
    </row>
    <row r="37" spans="1:16" ht="10.5" hidden="1" customHeight="1" x14ac:dyDescent="0.3">
      <c r="A37" s="28" t="s">
        <v>5</v>
      </c>
      <c r="B37" s="30" t="s">
        <v>6</v>
      </c>
      <c r="C37" s="5" t="s">
        <v>9</v>
      </c>
      <c r="D37" s="26" t="s">
        <v>554</v>
      </c>
      <c r="E37" s="5" t="s">
        <v>17</v>
      </c>
      <c r="G37" s="12" t="s">
        <v>16</v>
      </c>
      <c r="H37" s="26">
        <v>3</v>
      </c>
      <c r="I37" s="39"/>
      <c r="J37" s="29"/>
      <c r="K37" s="38"/>
      <c r="L37" s="29"/>
      <c r="M37" s="38"/>
      <c r="P37" s="28">
        <v>3</v>
      </c>
    </row>
    <row r="38" spans="1:16" ht="10.5" hidden="1" customHeight="1" x14ac:dyDescent="0.3">
      <c r="A38" s="28" t="s">
        <v>5</v>
      </c>
      <c r="B38" s="30" t="s">
        <v>6</v>
      </c>
      <c r="C38" s="31" t="s">
        <v>19</v>
      </c>
      <c r="D38" s="26" t="s">
        <v>554</v>
      </c>
      <c r="E38" s="31" t="s">
        <v>20</v>
      </c>
      <c r="G38" s="12" t="s">
        <v>18</v>
      </c>
      <c r="H38" s="26">
        <v>3</v>
      </c>
      <c r="I38" s="39"/>
      <c r="J38" s="29"/>
      <c r="K38" s="38"/>
      <c r="L38" s="29"/>
      <c r="M38" s="38"/>
      <c r="P38" s="28">
        <v>3</v>
      </c>
    </row>
    <row r="39" spans="1:16" ht="10.5" hidden="1" customHeight="1" x14ac:dyDescent="0.3">
      <c r="A39" s="28" t="s">
        <v>5</v>
      </c>
      <c r="B39" s="30" t="s">
        <v>6</v>
      </c>
      <c r="C39" s="31" t="s">
        <v>19</v>
      </c>
      <c r="D39" s="26" t="s">
        <v>554</v>
      </c>
      <c r="E39" s="31" t="s">
        <v>24</v>
      </c>
      <c r="G39" s="12" t="s">
        <v>23</v>
      </c>
      <c r="H39" s="26">
        <v>3</v>
      </c>
      <c r="I39" s="39"/>
      <c r="J39" s="29"/>
      <c r="K39" s="38"/>
      <c r="L39" s="29"/>
      <c r="M39" s="38"/>
      <c r="P39" s="28">
        <v>3</v>
      </c>
    </row>
    <row r="40" spans="1:16" ht="10.5" customHeight="1" x14ac:dyDescent="0.3">
      <c r="A40" s="38" t="s">
        <v>5</v>
      </c>
      <c r="B40" s="4" t="s">
        <v>6</v>
      </c>
      <c r="C40" s="3" t="s">
        <v>348</v>
      </c>
      <c r="D40" s="26" t="s">
        <v>554</v>
      </c>
      <c r="E40" s="3" t="s">
        <v>472</v>
      </c>
      <c r="F40" s="3" t="s">
        <v>473</v>
      </c>
      <c r="G40" s="12" t="s">
        <v>429</v>
      </c>
      <c r="H40" s="1">
        <v>1</v>
      </c>
      <c r="I40" s="39">
        <v>1</v>
      </c>
      <c r="J40" s="29">
        <v>1</v>
      </c>
      <c r="K40" s="38">
        <v>1</v>
      </c>
      <c r="L40" s="29">
        <v>1</v>
      </c>
      <c r="M40" s="38">
        <v>1</v>
      </c>
    </row>
    <row r="41" spans="1:16" ht="10.5" customHeight="1" x14ac:dyDescent="0.3">
      <c r="A41" s="38" t="s">
        <v>5</v>
      </c>
      <c r="B41" s="4" t="s">
        <v>6</v>
      </c>
      <c r="C41" s="3" t="s">
        <v>348</v>
      </c>
      <c r="D41" s="26" t="s">
        <v>554</v>
      </c>
      <c r="E41" s="3" t="s">
        <v>474</v>
      </c>
      <c r="F41" s="3" t="s">
        <v>475</v>
      </c>
      <c r="G41" s="12" t="s">
        <v>430</v>
      </c>
      <c r="H41" s="1">
        <v>1</v>
      </c>
      <c r="I41" s="39">
        <v>1</v>
      </c>
      <c r="J41" s="29">
        <v>1</v>
      </c>
      <c r="K41" s="38">
        <v>1</v>
      </c>
      <c r="L41" s="29">
        <v>1</v>
      </c>
      <c r="M41" s="38">
        <v>1</v>
      </c>
    </row>
    <row r="42" spans="1:16" ht="10.5" customHeight="1" x14ac:dyDescent="0.3">
      <c r="A42" s="38" t="s">
        <v>5</v>
      </c>
      <c r="B42" s="4" t="s">
        <v>6</v>
      </c>
      <c r="C42" s="3" t="s">
        <v>348</v>
      </c>
      <c r="D42" s="26" t="s">
        <v>554</v>
      </c>
      <c r="E42" s="3" t="s">
        <v>476</v>
      </c>
      <c r="F42" s="3" t="s">
        <v>477</v>
      </c>
      <c r="G42" s="12" t="s">
        <v>431</v>
      </c>
      <c r="H42" s="1">
        <v>1</v>
      </c>
      <c r="I42" s="39">
        <v>1</v>
      </c>
      <c r="J42" s="29">
        <v>1</v>
      </c>
      <c r="K42" s="38">
        <v>1</v>
      </c>
      <c r="L42" s="29">
        <v>1</v>
      </c>
      <c r="M42" s="38">
        <v>1</v>
      </c>
    </row>
    <row r="43" spans="1:16" ht="10.5" hidden="1" customHeight="1" x14ac:dyDescent="0.3">
      <c r="A43" s="28" t="s">
        <v>5</v>
      </c>
      <c r="B43" s="28" t="s">
        <v>6</v>
      </c>
      <c r="C43" s="31" t="s">
        <v>348</v>
      </c>
      <c r="D43" s="26" t="s">
        <v>554</v>
      </c>
      <c r="E43" s="31" t="s">
        <v>349</v>
      </c>
      <c r="G43" s="12" t="s">
        <v>432</v>
      </c>
      <c r="H43" s="26">
        <v>3</v>
      </c>
      <c r="I43" s="39"/>
      <c r="J43" s="29"/>
      <c r="K43" s="38"/>
      <c r="L43" s="29"/>
      <c r="M43" s="38"/>
      <c r="P43" s="28">
        <v>3</v>
      </c>
    </row>
    <row r="44" spans="1:16" ht="10.5" hidden="1" customHeight="1" x14ac:dyDescent="0.3">
      <c r="A44" s="28" t="s">
        <v>5</v>
      </c>
      <c r="B44" s="4" t="s">
        <v>6</v>
      </c>
      <c r="C44" s="3" t="s">
        <v>348</v>
      </c>
      <c r="D44" s="26" t="s">
        <v>554</v>
      </c>
      <c r="E44" s="3" t="s">
        <v>350</v>
      </c>
      <c r="G44" s="12" t="s">
        <v>433</v>
      </c>
      <c r="H44" s="26">
        <v>3</v>
      </c>
      <c r="I44" s="39"/>
      <c r="J44" s="29"/>
      <c r="K44" s="38"/>
      <c r="L44" s="29"/>
      <c r="M44" s="38"/>
      <c r="P44" s="28">
        <v>3</v>
      </c>
    </row>
    <row r="45" spans="1:16" ht="10.5" hidden="1" customHeight="1" x14ac:dyDescent="0.3">
      <c r="A45" s="28" t="s">
        <v>5</v>
      </c>
      <c r="B45" s="11" t="s">
        <v>76</v>
      </c>
      <c r="C45" s="27" t="s">
        <v>94</v>
      </c>
      <c r="D45" s="11" t="s">
        <v>555</v>
      </c>
      <c r="E45" s="27" t="s">
        <v>95</v>
      </c>
      <c r="G45" s="12" t="s">
        <v>93</v>
      </c>
      <c r="H45" s="26">
        <v>3</v>
      </c>
      <c r="I45" s="39"/>
      <c r="J45" s="29"/>
      <c r="K45" s="38"/>
      <c r="L45" s="29"/>
      <c r="M45" s="38"/>
      <c r="P45" s="28">
        <v>3</v>
      </c>
    </row>
    <row r="46" spans="1:16" ht="10.5" hidden="1" customHeight="1" x14ac:dyDescent="0.3">
      <c r="A46" s="28" t="s">
        <v>5</v>
      </c>
      <c r="B46" s="11" t="s">
        <v>76</v>
      </c>
      <c r="C46" s="27" t="s">
        <v>94</v>
      </c>
      <c r="D46" s="11" t="s">
        <v>555</v>
      </c>
      <c r="E46" s="27" t="s">
        <v>95</v>
      </c>
      <c r="G46" s="12" t="s">
        <v>96</v>
      </c>
      <c r="H46" s="26">
        <v>3</v>
      </c>
      <c r="I46" s="39"/>
      <c r="J46" s="29"/>
      <c r="K46" s="38"/>
      <c r="L46" s="29"/>
      <c r="M46" s="38"/>
      <c r="P46" s="28">
        <v>3</v>
      </c>
    </row>
    <row r="47" spans="1:16" ht="10.5" hidden="1" customHeight="1" x14ac:dyDescent="0.3">
      <c r="A47" s="28" t="s">
        <v>5</v>
      </c>
      <c r="B47" s="11" t="s">
        <v>76</v>
      </c>
      <c r="C47" s="27" t="s">
        <v>77</v>
      </c>
      <c r="D47" s="11" t="s">
        <v>555</v>
      </c>
      <c r="E47" s="27" t="s">
        <v>78</v>
      </c>
      <c r="G47" s="12" t="s">
        <v>75</v>
      </c>
      <c r="H47" s="26">
        <v>3</v>
      </c>
      <c r="I47" s="39"/>
      <c r="J47" s="29"/>
      <c r="K47" s="38"/>
      <c r="L47" s="29"/>
      <c r="M47" s="38"/>
      <c r="P47" s="28">
        <v>3</v>
      </c>
    </row>
    <row r="48" spans="1:16" ht="10.5" hidden="1" customHeight="1" x14ac:dyDescent="0.3">
      <c r="A48" s="28" t="s">
        <v>5</v>
      </c>
      <c r="B48" s="11" t="s">
        <v>76</v>
      </c>
      <c r="C48" s="27" t="s">
        <v>77</v>
      </c>
      <c r="D48" s="11" t="s">
        <v>555</v>
      </c>
      <c r="E48" s="27" t="s">
        <v>80</v>
      </c>
      <c r="G48" s="12" t="s">
        <v>79</v>
      </c>
      <c r="H48" s="26">
        <v>3</v>
      </c>
      <c r="I48" s="39"/>
      <c r="J48" s="29"/>
      <c r="K48" s="38"/>
      <c r="L48" s="29"/>
      <c r="M48" s="38"/>
      <c r="P48" s="28">
        <v>3</v>
      </c>
    </row>
    <row r="49" spans="1:17" ht="10.5" hidden="1" customHeight="1" x14ac:dyDescent="0.3">
      <c r="A49" s="28" t="s">
        <v>5</v>
      </c>
      <c r="B49" s="11" t="s">
        <v>76</v>
      </c>
      <c r="C49" s="27" t="s">
        <v>77</v>
      </c>
      <c r="D49" s="11" t="s">
        <v>555</v>
      </c>
      <c r="E49" s="27" t="s">
        <v>82</v>
      </c>
      <c r="G49" s="12" t="s">
        <v>81</v>
      </c>
      <c r="H49" s="26">
        <v>3</v>
      </c>
      <c r="I49" s="39"/>
      <c r="J49" s="29"/>
      <c r="K49" s="38"/>
      <c r="L49" s="29"/>
      <c r="M49" s="38"/>
      <c r="P49" s="28">
        <v>3</v>
      </c>
    </row>
    <row r="50" spans="1:17" ht="10.5" hidden="1" customHeight="1" x14ac:dyDescent="0.3">
      <c r="A50" s="28" t="s">
        <v>5</v>
      </c>
      <c r="B50" s="11" t="s">
        <v>76</v>
      </c>
      <c r="C50" s="27" t="s">
        <v>77</v>
      </c>
      <c r="D50" s="11" t="s">
        <v>555</v>
      </c>
      <c r="E50" s="27" t="s">
        <v>84</v>
      </c>
      <c r="G50" s="12" t="s">
        <v>83</v>
      </c>
      <c r="H50" s="26">
        <v>3</v>
      </c>
      <c r="I50" s="39"/>
      <c r="J50" s="29"/>
      <c r="K50" s="38"/>
      <c r="L50" s="29"/>
      <c r="M50" s="38"/>
      <c r="P50" s="28">
        <v>3</v>
      </c>
    </row>
    <row r="51" spans="1:17" ht="10.5" hidden="1" customHeight="1" x14ac:dyDescent="0.3">
      <c r="A51" s="28" t="s">
        <v>5</v>
      </c>
      <c r="B51" s="11" t="s">
        <v>76</v>
      </c>
      <c r="C51" s="27" t="s">
        <v>77</v>
      </c>
      <c r="D51" s="11" t="s">
        <v>555</v>
      </c>
      <c r="E51" s="27" t="s">
        <v>86</v>
      </c>
      <c r="G51" s="12" t="s">
        <v>85</v>
      </c>
      <c r="H51" s="26">
        <v>3</v>
      </c>
      <c r="I51" s="39"/>
      <c r="J51" s="29"/>
      <c r="K51" s="38"/>
      <c r="L51" s="29"/>
      <c r="M51" s="38"/>
      <c r="Q51" s="28">
        <v>3</v>
      </c>
    </row>
    <row r="52" spans="1:17" ht="10.5" hidden="1" customHeight="1" x14ac:dyDescent="0.3">
      <c r="A52" s="28" t="s">
        <v>5</v>
      </c>
      <c r="B52" s="11" t="s">
        <v>76</v>
      </c>
      <c r="C52" s="27" t="s">
        <v>77</v>
      </c>
      <c r="D52" s="11" t="s">
        <v>555</v>
      </c>
      <c r="E52" s="27" t="s">
        <v>88</v>
      </c>
      <c r="G52" s="12" t="s">
        <v>87</v>
      </c>
      <c r="H52" s="26">
        <v>3</v>
      </c>
      <c r="I52" s="39"/>
      <c r="J52" s="29"/>
      <c r="K52" s="38"/>
      <c r="L52" s="29"/>
      <c r="M52" s="38"/>
      <c r="Q52" s="28">
        <v>3</v>
      </c>
    </row>
    <row r="53" spans="1:17" ht="10.5" hidden="1" customHeight="1" x14ac:dyDescent="0.3">
      <c r="A53" s="28" t="s">
        <v>5</v>
      </c>
      <c r="B53" s="11" t="s">
        <v>76</v>
      </c>
      <c r="C53" s="27" t="s">
        <v>77</v>
      </c>
      <c r="D53" s="11" t="s">
        <v>555</v>
      </c>
      <c r="E53" s="27" t="s">
        <v>90</v>
      </c>
      <c r="G53" s="12" t="s">
        <v>89</v>
      </c>
      <c r="H53" s="26">
        <v>3</v>
      </c>
      <c r="I53" s="39"/>
      <c r="J53" s="29"/>
      <c r="K53" s="38"/>
      <c r="L53" s="29"/>
      <c r="M53" s="38"/>
      <c r="Q53" s="28">
        <v>3</v>
      </c>
    </row>
    <row r="54" spans="1:17" ht="10.5" hidden="1" customHeight="1" x14ac:dyDescent="0.3">
      <c r="A54" s="28" t="s">
        <v>5</v>
      </c>
      <c r="B54" s="11" t="s">
        <v>76</v>
      </c>
      <c r="C54" s="27" t="s">
        <v>77</v>
      </c>
      <c r="D54" s="11" t="s">
        <v>555</v>
      </c>
      <c r="E54" s="27" t="s">
        <v>92</v>
      </c>
      <c r="G54" s="12" t="s">
        <v>91</v>
      </c>
      <c r="H54" s="26">
        <v>3</v>
      </c>
      <c r="I54" s="39"/>
      <c r="J54" s="29"/>
      <c r="K54" s="38"/>
      <c r="L54" s="29"/>
      <c r="M54" s="38"/>
      <c r="Q54" s="28">
        <v>3</v>
      </c>
    </row>
    <row r="55" spans="1:17" ht="10.5" hidden="1" customHeight="1" x14ac:dyDescent="0.3">
      <c r="A55" s="28" t="s">
        <v>5</v>
      </c>
      <c r="B55" s="11" t="s">
        <v>76</v>
      </c>
      <c r="C55" s="8" t="s">
        <v>174</v>
      </c>
      <c r="D55" s="11" t="s">
        <v>555</v>
      </c>
      <c r="E55" s="8" t="s">
        <v>183</v>
      </c>
      <c r="G55" s="12" t="s">
        <v>182</v>
      </c>
      <c r="H55" s="26">
        <v>3</v>
      </c>
      <c r="I55" s="39"/>
      <c r="J55" s="29"/>
      <c r="K55" s="38"/>
      <c r="L55" s="29"/>
      <c r="M55" s="38"/>
      <c r="Q55" s="28">
        <v>3</v>
      </c>
    </row>
    <row r="56" spans="1:17" ht="10.5" hidden="1" customHeight="1" x14ac:dyDescent="0.3">
      <c r="A56" s="28" t="s">
        <v>5</v>
      </c>
      <c r="B56" s="11" t="s">
        <v>76</v>
      </c>
      <c r="C56" s="8" t="s">
        <v>174</v>
      </c>
      <c r="D56" s="11" t="s">
        <v>555</v>
      </c>
      <c r="E56" s="8" t="s">
        <v>183</v>
      </c>
      <c r="G56" s="12" t="s">
        <v>184</v>
      </c>
      <c r="H56" s="26">
        <v>3</v>
      </c>
      <c r="I56" s="39"/>
      <c r="J56" s="29"/>
      <c r="K56" s="38"/>
      <c r="L56" s="29"/>
      <c r="M56" s="38"/>
      <c r="Q56" s="28">
        <v>3</v>
      </c>
    </row>
    <row r="57" spans="1:17" ht="10.5" hidden="1" customHeight="1" x14ac:dyDescent="0.3">
      <c r="A57" s="28" t="s">
        <v>5</v>
      </c>
      <c r="B57" s="11" t="s">
        <v>76</v>
      </c>
      <c r="C57" s="5" t="s">
        <v>70</v>
      </c>
      <c r="D57" s="11" t="s">
        <v>555</v>
      </c>
      <c r="E57" s="27" t="s">
        <v>98</v>
      </c>
      <c r="G57" s="12" t="s">
        <v>97</v>
      </c>
      <c r="H57" s="26">
        <v>3</v>
      </c>
      <c r="I57" s="39"/>
      <c r="J57" s="29"/>
      <c r="K57" s="38"/>
      <c r="L57" s="29"/>
      <c r="M57" s="38"/>
      <c r="Q57" s="28">
        <v>3</v>
      </c>
    </row>
    <row r="58" spans="1:17" ht="10.5" hidden="1" customHeight="1" x14ac:dyDescent="0.3">
      <c r="A58" s="28" t="s">
        <v>5</v>
      </c>
      <c r="B58" s="11" t="s">
        <v>76</v>
      </c>
      <c r="C58" s="27" t="s">
        <v>100</v>
      </c>
      <c r="D58" s="11" t="s">
        <v>555</v>
      </c>
      <c r="E58" s="27" t="s">
        <v>101</v>
      </c>
      <c r="G58" s="12" t="s">
        <v>99</v>
      </c>
      <c r="H58" s="26">
        <v>3</v>
      </c>
      <c r="I58" s="39"/>
      <c r="J58" s="29"/>
      <c r="K58" s="38"/>
      <c r="L58" s="29"/>
      <c r="M58" s="38"/>
      <c r="Q58" s="28">
        <v>3</v>
      </c>
    </row>
    <row r="59" spans="1:17" ht="10.5" hidden="1" customHeight="1" x14ac:dyDescent="0.3">
      <c r="A59" s="28" t="s">
        <v>5</v>
      </c>
      <c r="B59" s="11" t="s">
        <v>76</v>
      </c>
      <c r="C59" s="27" t="s">
        <v>100</v>
      </c>
      <c r="D59" s="11" t="s">
        <v>555</v>
      </c>
      <c r="E59" s="27" t="s">
        <v>103</v>
      </c>
      <c r="G59" s="12" t="s">
        <v>102</v>
      </c>
      <c r="H59" s="26">
        <v>3</v>
      </c>
      <c r="I59" s="39"/>
      <c r="J59" s="29"/>
      <c r="K59" s="38"/>
      <c r="L59" s="29"/>
      <c r="M59" s="38"/>
      <c r="Q59" s="28">
        <v>3</v>
      </c>
    </row>
    <row r="60" spans="1:17" ht="10.5" customHeight="1" x14ac:dyDescent="0.3">
      <c r="A60" s="38" t="s">
        <v>5</v>
      </c>
      <c r="B60" s="6" t="s">
        <v>76</v>
      </c>
      <c r="C60" s="8" t="s">
        <v>186</v>
      </c>
      <c r="D60" s="11" t="s">
        <v>555</v>
      </c>
      <c r="E60" s="8" t="s">
        <v>491</v>
      </c>
      <c r="F60" s="8" t="s">
        <v>477</v>
      </c>
      <c r="G60" s="12" t="s">
        <v>185</v>
      </c>
      <c r="H60" s="1">
        <v>1</v>
      </c>
      <c r="I60" s="39">
        <v>1</v>
      </c>
      <c r="J60" s="29">
        <v>1</v>
      </c>
      <c r="K60" s="38">
        <v>1</v>
      </c>
      <c r="L60" s="29">
        <v>1</v>
      </c>
      <c r="M60" s="38">
        <v>1</v>
      </c>
    </row>
    <row r="61" spans="1:17" ht="10.5" customHeight="1" x14ac:dyDescent="0.3">
      <c r="A61" s="38" t="s">
        <v>5</v>
      </c>
      <c r="B61" s="6" t="s">
        <v>76</v>
      </c>
      <c r="C61" s="8" t="s">
        <v>186</v>
      </c>
      <c r="D61" s="11" t="s">
        <v>555</v>
      </c>
      <c r="E61" s="8" t="s">
        <v>492</v>
      </c>
      <c r="F61" s="8" t="s">
        <v>493</v>
      </c>
      <c r="G61" s="12" t="s">
        <v>187</v>
      </c>
      <c r="H61" s="1">
        <v>1</v>
      </c>
      <c r="I61" s="39">
        <v>1</v>
      </c>
      <c r="J61" s="29">
        <v>1</v>
      </c>
      <c r="K61" s="38">
        <v>1</v>
      </c>
      <c r="L61" s="29">
        <v>1</v>
      </c>
      <c r="M61" s="38">
        <v>1</v>
      </c>
    </row>
    <row r="62" spans="1:17" ht="10.5" customHeight="1" x14ac:dyDescent="0.3">
      <c r="A62" s="38" t="s">
        <v>5</v>
      </c>
      <c r="B62" s="6" t="s">
        <v>76</v>
      </c>
      <c r="C62" s="8" t="s">
        <v>186</v>
      </c>
      <c r="D62" s="11" t="s">
        <v>555</v>
      </c>
      <c r="E62" s="8" t="s">
        <v>494</v>
      </c>
      <c r="F62" s="8" t="s">
        <v>495</v>
      </c>
      <c r="G62" s="12" t="s">
        <v>188</v>
      </c>
      <c r="H62" s="1">
        <v>1</v>
      </c>
      <c r="I62" s="39">
        <v>1</v>
      </c>
      <c r="J62" s="29">
        <v>1</v>
      </c>
      <c r="K62" s="38">
        <v>1</v>
      </c>
      <c r="L62" s="29">
        <v>1</v>
      </c>
      <c r="M62" s="38">
        <v>1</v>
      </c>
    </row>
    <row r="63" spans="1:17" ht="10.5" customHeight="1" x14ac:dyDescent="0.3">
      <c r="A63" s="38" t="s">
        <v>5</v>
      </c>
      <c r="B63" s="6" t="s">
        <v>76</v>
      </c>
      <c r="C63" s="8" t="s">
        <v>186</v>
      </c>
      <c r="D63" s="11" t="s">
        <v>555</v>
      </c>
      <c r="E63" s="8" t="s">
        <v>496</v>
      </c>
      <c r="F63" s="8" t="s">
        <v>497</v>
      </c>
      <c r="G63" s="12" t="s">
        <v>189</v>
      </c>
      <c r="H63" s="1">
        <v>1</v>
      </c>
      <c r="I63" s="39">
        <v>1</v>
      </c>
      <c r="J63" s="29">
        <v>1</v>
      </c>
      <c r="K63" s="38">
        <v>1</v>
      </c>
      <c r="L63" s="29">
        <v>1</v>
      </c>
      <c r="M63" s="38">
        <v>1</v>
      </c>
    </row>
    <row r="64" spans="1:17" ht="10.5" customHeight="1" x14ac:dyDescent="0.3">
      <c r="A64" s="38" t="s">
        <v>5</v>
      </c>
      <c r="B64" s="6" t="s">
        <v>76</v>
      </c>
      <c r="C64" s="8" t="s">
        <v>186</v>
      </c>
      <c r="D64" s="11" t="s">
        <v>555</v>
      </c>
      <c r="E64" s="8" t="s">
        <v>498</v>
      </c>
      <c r="F64" s="8" t="s">
        <v>499</v>
      </c>
      <c r="G64" s="12" t="s">
        <v>190</v>
      </c>
      <c r="H64" s="1">
        <v>1</v>
      </c>
      <c r="I64" s="39">
        <v>1</v>
      </c>
      <c r="J64" s="29">
        <v>1</v>
      </c>
      <c r="K64" s="38">
        <v>1</v>
      </c>
      <c r="L64" s="29">
        <v>1</v>
      </c>
      <c r="M64" s="38">
        <v>1</v>
      </c>
    </row>
    <row r="65" spans="1:13" ht="10.5" customHeight="1" x14ac:dyDescent="0.3">
      <c r="A65" s="13" t="s">
        <v>192</v>
      </c>
      <c r="B65" s="6" t="s">
        <v>234</v>
      </c>
      <c r="C65" s="12" t="s">
        <v>500</v>
      </c>
      <c r="D65" s="13" t="s">
        <v>553</v>
      </c>
      <c r="E65" s="12" t="s">
        <v>501</v>
      </c>
      <c r="F65" s="12" t="s">
        <v>502</v>
      </c>
      <c r="G65" s="12" t="s">
        <v>295</v>
      </c>
      <c r="H65" s="1">
        <v>1</v>
      </c>
      <c r="I65" s="39"/>
      <c r="J65" s="29">
        <v>1</v>
      </c>
      <c r="K65" s="38">
        <v>1</v>
      </c>
      <c r="L65" s="29">
        <v>1</v>
      </c>
      <c r="M65" s="38">
        <v>1</v>
      </c>
    </row>
    <row r="66" spans="1:13" ht="10.5" customHeight="1" x14ac:dyDescent="0.3">
      <c r="A66" s="13" t="s">
        <v>192</v>
      </c>
      <c r="B66" s="6" t="s">
        <v>234</v>
      </c>
      <c r="C66" s="12" t="s">
        <v>500</v>
      </c>
      <c r="D66" s="13" t="s">
        <v>553</v>
      </c>
      <c r="E66" s="12" t="s">
        <v>503</v>
      </c>
      <c r="F66" s="12" t="s">
        <v>504</v>
      </c>
      <c r="G66" s="12" t="s">
        <v>304</v>
      </c>
      <c r="H66" s="1">
        <v>1</v>
      </c>
      <c r="I66" s="39"/>
      <c r="J66" s="29">
        <v>1</v>
      </c>
      <c r="K66" s="38">
        <v>1</v>
      </c>
      <c r="L66" s="29">
        <v>1</v>
      </c>
      <c r="M66" s="38">
        <v>1</v>
      </c>
    </row>
    <row r="67" spans="1:13" ht="10.5" customHeight="1" x14ac:dyDescent="0.3">
      <c r="A67" s="13" t="s">
        <v>192</v>
      </c>
      <c r="B67" s="6" t="s">
        <v>234</v>
      </c>
      <c r="C67" s="12" t="s">
        <v>500</v>
      </c>
      <c r="D67" s="13" t="s">
        <v>553</v>
      </c>
      <c r="E67" s="12" t="s">
        <v>505</v>
      </c>
      <c r="F67" s="12" t="s">
        <v>546</v>
      </c>
      <c r="G67" s="12" t="s">
        <v>305</v>
      </c>
      <c r="H67" s="1">
        <v>1</v>
      </c>
      <c r="I67" s="39"/>
      <c r="J67" s="29">
        <v>1</v>
      </c>
      <c r="K67" s="38">
        <v>1</v>
      </c>
      <c r="L67" s="29">
        <v>1</v>
      </c>
      <c r="M67" s="38">
        <v>1</v>
      </c>
    </row>
    <row r="68" spans="1:13" ht="10.5" customHeight="1" x14ac:dyDescent="0.3">
      <c r="A68" s="13" t="s">
        <v>192</v>
      </c>
      <c r="B68" s="6" t="s">
        <v>234</v>
      </c>
      <c r="C68" s="12" t="s">
        <v>500</v>
      </c>
      <c r="D68" s="13" t="s">
        <v>553</v>
      </c>
      <c r="E68" s="12" t="s">
        <v>506</v>
      </c>
      <c r="F68" s="12" t="s">
        <v>507</v>
      </c>
      <c r="G68" s="12" t="s">
        <v>306</v>
      </c>
      <c r="H68" s="1">
        <v>1</v>
      </c>
      <c r="I68" s="39"/>
      <c r="J68" s="29">
        <v>1</v>
      </c>
      <c r="K68" s="38">
        <v>1</v>
      </c>
      <c r="L68" s="29">
        <v>1</v>
      </c>
      <c r="M68" s="38">
        <v>1</v>
      </c>
    </row>
    <row r="69" spans="1:13" ht="10.5" customHeight="1" x14ac:dyDescent="0.3">
      <c r="A69" s="13" t="s">
        <v>192</v>
      </c>
      <c r="B69" s="6" t="s">
        <v>234</v>
      </c>
      <c r="C69" s="12" t="s">
        <v>500</v>
      </c>
      <c r="D69" s="13" t="s">
        <v>553</v>
      </c>
      <c r="E69" s="12" t="s">
        <v>508</v>
      </c>
      <c r="F69" s="12" t="s">
        <v>509</v>
      </c>
      <c r="G69" s="12" t="s">
        <v>307</v>
      </c>
      <c r="H69" s="1">
        <v>1</v>
      </c>
      <c r="I69" s="39">
        <v>1</v>
      </c>
      <c r="J69" s="29">
        <v>1</v>
      </c>
      <c r="K69" s="38">
        <v>1</v>
      </c>
      <c r="L69" s="29">
        <v>1</v>
      </c>
      <c r="M69" s="38">
        <v>1</v>
      </c>
    </row>
    <row r="70" spans="1:13" ht="10.5" customHeight="1" x14ac:dyDescent="0.3">
      <c r="A70" s="13" t="s">
        <v>192</v>
      </c>
      <c r="B70" s="6" t="s">
        <v>234</v>
      </c>
      <c r="C70" s="12" t="s">
        <v>500</v>
      </c>
      <c r="D70" s="13" t="s">
        <v>553</v>
      </c>
      <c r="E70" s="12" t="s">
        <v>510</v>
      </c>
      <c r="F70" s="12" t="s">
        <v>511</v>
      </c>
      <c r="G70" s="12" t="s">
        <v>308</v>
      </c>
      <c r="H70" s="1">
        <v>1</v>
      </c>
      <c r="I70" s="39"/>
      <c r="J70" s="29">
        <v>1</v>
      </c>
      <c r="K70" s="38">
        <v>1</v>
      </c>
      <c r="L70" s="29">
        <v>1</v>
      </c>
      <c r="M70" s="38">
        <v>1</v>
      </c>
    </row>
    <row r="71" spans="1:13" ht="10.5" customHeight="1" x14ac:dyDescent="0.3">
      <c r="A71" s="13" t="s">
        <v>192</v>
      </c>
      <c r="B71" s="6" t="s">
        <v>234</v>
      </c>
      <c r="C71" s="12" t="s">
        <v>500</v>
      </c>
      <c r="D71" s="13" t="s">
        <v>553</v>
      </c>
      <c r="E71" s="12" t="s">
        <v>512</v>
      </c>
      <c r="F71" s="12" t="s">
        <v>513</v>
      </c>
      <c r="G71" s="12" t="s">
        <v>309</v>
      </c>
      <c r="H71" s="1">
        <v>1</v>
      </c>
      <c r="I71" s="39"/>
      <c r="J71" s="29">
        <v>1</v>
      </c>
      <c r="K71" s="38">
        <v>1</v>
      </c>
      <c r="L71" s="29">
        <v>1</v>
      </c>
      <c r="M71" s="38">
        <v>1</v>
      </c>
    </row>
    <row r="72" spans="1:13" ht="10.5" customHeight="1" x14ac:dyDescent="0.3">
      <c r="A72" s="13" t="s">
        <v>192</v>
      </c>
      <c r="B72" s="6" t="s">
        <v>234</v>
      </c>
      <c r="C72" s="12" t="s">
        <v>500</v>
      </c>
      <c r="D72" s="13" t="s">
        <v>553</v>
      </c>
      <c r="E72" s="12" t="s">
        <v>514</v>
      </c>
      <c r="F72" s="12" t="s">
        <v>515</v>
      </c>
      <c r="G72" s="12" t="s">
        <v>310</v>
      </c>
      <c r="H72" s="1">
        <v>1</v>
      </c>
      <c r="I72" s="39"/>
      <c r="J72" s="29">
        <v>1</v>
      </c>
      <c r="K72" s="38">
        <v>1</v>
      </c>
      <c r="L72" s="29">
        <v>1</v>
      </c>
      <c r="M72" s="38">
        <v>1</v>
      </c>
    </row>
    <row r="73" spans="1:13" ht="10.5" customHeight="1" x14ac:dyDescent="0.3">
      <c r="A73" s="13" t="s">
        <v>192</v>
      </c>
      <c r="B73" s="6" t="s">
        <v>234</v>
      </c>
      <c r="C73" s="12" t="s">
        <v>500</v>
      </c>
      <c r="D73" s="13" t="s">
        <v>553</v>
      </c>
      <c r="E73" s="12" t="s">
        <v>516</v>
      </c>
      <c r="F73" s="12" t="s">
        <v>517</v>
      </c>
      <c r="G73" s="12" t="s">
        <v>311</v>
      </c>
      <c r="H73" s="1">
        <v>1</v>
      </c>
      <c r="I73" s="39"/>
      <c r="J73" s="29">
        <v>1</v>
      </c>
      <c r="K73" s="38">
        <v>1</v>
      </c>
      <c r="L73" s="29">
        <v>1</v>
      </c>
      <c r="M73" s="38">
        <v>1</v>
      </c>
    </row>
    <row r="74" spans="1:13" ht="10.5" customHeight="1" x14ac:dyDescent="0.3">
      <c r="A74" s="13" t="s">
        <v>192</v>
      </c>
      <c r="B74" s="6" t="s">
        <v>234</v>
      </c>
      <c r="C74" s="12" t="s">
        <v>500</v>
      </c>
      <c r="D74" s="13" t="s">
        <v>553</v>
      </c>
      <c r="E74" s="12" t="s">
        <v>518</v>
      </c>
      <c r="F74" s="12" t="s">
        <v>519</v>
      </c>
      <c r="G74" s="12" t="s">
        <v>312</v>
      </c>
      <c r="H74" s="1">
        <v>1</v>
      </c>
      <c r="I74" s="39"/>
      <c r="J74" s="29">
        <v>1</v>
      </c>
      <c r="K74" s="38">
        <v>1</v>
      </c>
      <c r="L74" s="29">
        <v>1</v>
      </c>
      <c r="M74" s="38">
        <v>1</v>
      </c>
    </row>
    <row r="75" spans="1:13" ht="10.5" customHeight="1" x14ac:dyDescent="0.3">
      <c r="A75" s="13" t="s">
        <v>192</v>
      </c>
      <c r="B75" s="6" t="s">
        <v>234</v>
      </c>
      <c r="C75" s="12" t="s">
        <v>500</v>
      </c>
      <c r="D75" s="13" t="s">
        <v>553</v>
      </c>
      <c r="E75" s="12" t="s">
        <v>547</v>
      </c>
      <c r="F75" s="12" t="s">
        <v>548</v>
      </c>
      <c r="G75" s="12" t="s">
        <v>313</v>
      </c>
      <c r="H75" s="1">
        <v>1</v>
      </c>
      <c r="I75" s="39"/>
      <c r="J75" s="29">
        <v>1</v>
      </c>
      <c r="K75" s="38">
        <v>1</v>
      </c>
      <c r="L75" s="29">
        <v>1</v>
      </c>
      <c r="M75" s="38">
        <v>1</v>
      </c>
    </row>
    <row r="76" spans="1:13" ht="10.5" customHeight="1" x14ac:dyDescent="0.3">
      <c r="A76" s="13" t="s">
        <v>192</v>
      </c>
      <c r="B76" s="6" t="s">
        <v>234</v>
      </c>
      <c r="C76" s="12" t="s">
        <v>500</v>
      </c>
      <c r="D76" s="13" t="s">
        <v>553</v>
      </c>
      <c r="E76" s="12" t="s">
        <v>520</v>
      </c>
      <c r="F76" s="12" t="s">
        <v>521</v>
      </c>
      <c r="G76" s="12" t="s">
        <v>296</v>
      </c>
      <c r="H76" s="1">
        <v>1</v>
      </c>
      <c r="I76" s="39"/>
      <c r="J76" s="29">
        <v>1</v>
      </c>
      <c r="K76" s="38">
        <v>1</v>
      </c>
      <c r="L76" s="29">
        <v>1</v>
      </c>
      <c r="M76" s="38">
        <v>1</v>
      </c>
    </row>
    <row r="77" spans="1:13" ht="10.5" customHeight="1" x14ac:dyDescent="0.3">
      <c r="A77" s="13" t="s">
        <v>192</v>
      </c>
      <c r="B77" s="6" t="s">
        <v>234</v>
      </c>
      <c r="C77" s="12" t="s">
        <v>500</v>
      </c>
      <c r="D77" s="13" t="s">
        <v>553</v>
      </c>
      <c r="E77" s="12" t="s">
        <v>522</v>
      </c>
      <c r="F77" s="12" t="s">
        <v>523</v>
      </c>
      <c r="G77" s="12" t="s">
        <v>314</v>
      </c>
      <c r="H77" s="1">
        <v>1</v>
      </c>
      <c r="I77" s="39"/>
      <c r="J77" s="29">
        <v>1</v>
      </c>
      <c r="K77" s="38">
        <v>1</v>
      </c>
      <c r="L77" s="29">
        <v>1</v>
      </c>
      <c r="M77" s="38">
        <v>1</v>
      </c>
    </row>
    <row r="78" spans="1:13" ht="10.5" customHeight="1" x14ac:dyDescent="0.3">
      <c r="A78" s="13" t="s">
        <v>192</v>
      </c>
      <c r="B78" s="6" t="s">
        <v>234</v>
      </c>
      <c r="C78" s="12" t="s">
        <v>500</v>
      </c>
      <c r="D78" s="13" t="s">
        <v>553</v>
      </c>
      <c r="E78" s="12" t="s">
        <v>524</v>
      </c>
      <c r="F78" s="12" t="s">
        <v>525</v>
      </c>
      <c r="G78" s="12" t="s">
        <v>297</v>
      </c>
      <c r="H78" s="1">
        <v>1</v>
      </c>
      <c r="I78" s="39"/>
      <c r="J78" s="29">
        <v>1</v>
      </c>
      <c r="K78" s="38">
        <v>1</v>
      </c>
      <c r="L78" s="29">
        <v>1</v>
      </c>
      <c r="M78" s="38">
        <v>1</v>
      </c>
    </row>
    <row r="79" spans="1:13" ht="10.5" customHeight="1" x14ac:dyDescent="0.3">
      <c r="A79" s="13" t="s">
        <v>192</v>
      </c>
      <c r="B79" s="6" t="s">
        <v>234</v>
      </c>
      <c r="C79" s="12" t="s">
        <v>500</v>
      </c>
      <c r="D79" s="13" t="s">
        <v>553</v>
      </c>
      <c r="E79" s="12" t="s">
        <v>526</v>
      </c>
      <c r="F79" s="12" t="s">
        <v>527</v>
      </c>
      <c r="G79" s="12" t="s">
        <v>298</v>
      </c>
      <c r="H79" s="1">
        <v>1</v>
      </c>
      <c r="I79" s="39"/>
      <c r="J79" s="29">
        <v>1</v>
      </c>
      <c r="K79" s="38">
        <v>1</v>
      </c>
      <c r="L79" s="29">
        <v>1</v>
      </c>
      <c r="M79" s="38">
        <v>1</v>
      </c>
    </row>
    <row r="80" spans="1:13" ht="10.5" customHeight="1" x14ac:dyDescent="0.3">
      <c r="A80" s="13" t="s">
        <v>192</v>
      </c>
      <c r="B80" s="6" t="s">
        <v>234</v>
      </c>
      <c r="C80" s="12" t="s">
        <v>500</v>
      </c>
      <c r="D80" s="13" t="s">
        <v>553</v>
      </c>
      <c r="E80" s="12" t="s">
        <v>528</v>
      </c>
      <c r="F80" s="12" t="s">
        <v>529</v>
      </c>
      <c r="G80" s="12" t="s">
        <v>299</v>
      </c>
      <c r="H80" s="1">
        <v>1</v>
      </c>
      <c r="I80" s="39"/>
      <c r="J80" s="29">
        <v>1</v>
      </c>
      <c r="K80" s="38">
        <v>1</v>
      </c>
      <c r="L80" s="29">
        <v>1</v>
      </c>
      <c r="M80" s="38">
        <v>1</v>
      </c>
    </row>
    <row r="81" spans="1:17" ht="10.5" customHeight="1" x14ac:dyDescent="0.3">
      <c r="A81" s="13" t="s">
        <v>192</v>
      </c>
      <c r="B81" s="6" t="s">
        <v>234</v>
      </c>
      <c r="C81" s="12" t="s">
        <v>500</v>
      </c>
      <c r="D81" s="13" t="s">
        <v>553</v>
      </c>
      <c r="E81" s="12" t="s">
        <v>530</v>
      </c>
      <c r="F81" s="12" t="s">
        <v>736</v>
      </c>
      <c r="G81" s="12" t="s">
        <v>300</v>
      </c>
      <c r="H81" s="1">
        <v>1</v>
      </c>
      <c r="I81" s="39"/>
      <c r="J81" s="29">
        <v>1</v>
      </c>
      <c r="K81" s="38">
        <v>1</v>
      </c>
      <c r="L81" s="29">
        <v>1</v>
      </c>
      <c r="M81" s="38">
        <v>1</v>
      </c>
    </row>
    <row r="82" spans="1:17" ht="10.5" customHeight="1" x14ac:dyDescent="0.3">
      <c r="A82" s="13" t="s">
        <v>192</v>
      </c>
      <c r="B82" s="6" t="s">
        <v>234</v>
      </c>
      <c r="C82" s="12" t="s">
        <v>500</v>
      </c>
      <c r="D82" s="13" t="s">
        <v>553</v>
      </c>
      <c r="E82" s="12" t="s">
        <v>531</v>
      </c>
      <c r="F82" s="12" t="s">
        <v>532</v>
      </c>
      <c r="G82" s="12" t="s">
        <v>301</v>
      </c>
      <c r="H82" s="1">
        <v>1</v>
      </c>
      <c r="I82" s="39"/>
      <c r="J82" s="29">
        <v>1</v>
      </c>
      <c r="K82" s="38">
        <v>1</v>
      </c>
      <c r="L82" s="29">
        <v>1</v>
      </c>
      <c r="M82" s="38">
        <v>1</v>
      </c>
    </row>
    <row r="83" spans="1:17" ht="10.5" customHeight="1" x14ac:dyDescent="0.3">
      <c r="A83" s="13" t="s">
        <v>192</v>
      </c>
      <c r="B83" s="6" t="s">
        <v>234</v>
      </c>
      <c r="C83" s="12" t="s">
        <v>500</v>
      </c>
      <c r="D83" s="13" t="s">
        <v>553</v>
      </c>
      <c r="E83" s="12" t="s">
        <v>533</v>
      </c>
      <c r="F83" s="12" t="s">
        <v>735</v>
      </c>
      <c r="G83" s="12" t="s">
        <v>302</v>
      </c>
      <c r="H83" s="1">
        <v>1</v>
      </c>
      <c r="I83" s="39">
        <v>1</v>
      </c>
      <c r="J83" s="29">
        <v>1</v>
      </c>
      <c r="K83" s="38">
        <v>1</v>
      </c>
      <c r="L83" s="29">
        <v>1</v>
      </c>
      <c r="M83" s="38">
        <v>1</v>
      </c>
    </row>
    <row r="84" spans="1:17" ht="10.5" customHeight="1" x14ac:dyDescent="0.3">
      <c r="A84" s="13" t="s">
        <v>192</v>
      </c>
      <c r="B84" s="6" t="s">
        <v>234</v>
      </c>
      <c r="C84" s="12" t="s">
        <v>500</v>
      </c>
      <c r="D84" s="13" t="s">
        <v>553</v>
      </c>
      <c r="E84" s="12" t="s">
        <v>534</v>
      </c>
      <c r="F84" s="12" t="s">
        <v>535</v>
      </c>
      <c r="G84" s="12" t="s">
        <v>303</v>
      </c>
      <c r="H84" s="1">
        <v>1</v>
      </c>
      <c r="I84" s="39"/>
      <c r="J84" s="29">
        <v>1</v>
      </c>
      <c r="K84" s="38">
        <v>1</v>
      </c>
      <c r="L84" s="29">
        <v>1</v>
      </c>
      <c r="M84" s="38">
        <v>1</v>
      </c>
    </row>
    <row r="85" spans="1:17" ht="10.5" hidden="1" customHeight="1" x14ac:dyDescent="0.3">
      <c r="A85" s="13" t="s">
        <v>192</v>
      </c>
      <c r="B85" s="13" t="s">
        <v>234</v>
      </c>
      <c r="C85" s="12" t="s">
        <v>49</v>
      </c>
      <c r="D85" s="13" t="s">
        <v>553</v>
      </c>
      <c r="E85" s="12" t="s">
        <v>235</v>
      </c>
      <c r="G85" s="12" t="s">
        <v>233</v>
      </c>
      <c r="H85" s="26">
        <v>3</v>
      </c>
      <c r="I85" s="39"/>
      <c r="J85" s="29"/>
      <c r="K85" s="38"/>
      <c r="L85" s="29"/>
      <c r="M85" s="38"/>
      <c r="Q85" s="28">
        <v>3</v>
      </c>
    </row>
    <row r="86" spans="1:17" ht="10.5" hidden="1" customHeight="1" x14ac:dyDescent="0.3">
      <c r="A86" s="13" t="s">
        <v>192</v>
      </c>
      <c r="B86" s="13" t="s">
        <v>234</v>
      </c>
      <c r="C86" s="12" t="s">
        <v>49</v>
      </c>
      <c r="D86" s="13" t="s">
        <v>553</v>
      </c>
      <c r="E86" s="12" t="s">
        <v>240</v>
      </c>
      <c r="G86" s="12" t="s">
        <v>239</v>
      </c>
      <c r="H86" s="26">
        <v>3</v>
      </c>
      <c r="I86" s="39"/>
      <c r="J86" s="29"/>
      <c r="K86" s="38"/>
      <c r="L86" s="29"/>
      <c r="M86" s="38"/>
      <c r="Q86" s="28">
        <v>3</v>
      </c>
    </row>
    <row r="87" spans="1:17" ht="10.5" hidden="1" customHeight="1" x14ac:dyDescent="0.3">
      <c r="A87" s="13" t="s">
        <v>192</v>
      </c>
      <c r="B87" s="13" t="s">
        <v>234</v>
      </c>
      <c r="C87" s="12" t="s">
        <v>49</v>
      </c>
      <c r="D87" s="13" t="s">
        <v>553</v>
      </c>
      <c r="E87" s="12" t="s">
        <v>693</v>
      </c>
      <c r="F87" s="12" t="s">
        <v>694</v>
      </c>
      <c r="G87" s="12" t="s">
        <v>323</v>
      </c>
      <c r="H87" s="13">
        <v>2</v>
      </c>
      <c r="I87" s="39"/>
      <c r="J87" s="29"/>
      <c r="K87" s="38"/>
      <c r="L87" s="29"/>
      <c r="M87" s="38"/>
      <c r="N87" s="28">
        <v>2</v>
      </c>
    </row>
    <row r="88" spans="1:17" ht="10.5" hidden="1" customHeight="1" x14ac:dyDescent="0.3">
      <c r="A88" s="13" t="s">
        <v>192</v>
      </c>
      <c r="B88" s="13" t="s">
        <v>234</v>
      </c>
      <c r="C88" s="12" t="s">
        <v>49</v>
      </c>
      <c r="D88" s="13" t="s">
        <v>553</v>
      </c>
      <c r="E88" s="12" t="s">
        <v>695</v>
      </c>
      <c r="F88" s="31" t="s">
        <v>696</v>
      </c>
      <c r="G88" s="12" t="s">
        <v>324</v>
      </c>
      <c r="H88" s="13">
        <v>2</v>
      </c>
      <c r="I88" s="39"/>
      <c r="J88" s="29"/>
      <c r="K88" s="38"/>
      <c r="L88" s="29"/>
      <c r="M88" s="38"/>
    </row>
    <row r="89" spans="1:17" ht="10.5" hidden="1" customHeight="1" x14ac:dyDescent="0.3">
      <c r="A89" s="13" t="s">
        <v>192</v>
      </c>
      <c r="B89" s="13" t="s">
        <v>234</v>
      </c>
      <c r="C89" s="12" t="s">
        <v>49</v>
      </c>
      <c r="D89" s="13" t="s">
        <v>553</v>
      </c>
      <c r="E89" s="12" t="s">
        <v>697</v>
      </c>
      <c r="F89" s="31" t="s">
        <v>698</v>
      </c>
      <c r="G89" s="12" t="s">
        <v>325</v>
      </c>
      <c r="H89" s="13">
        <v>2</v>
      </c>
      <c r="I89" s="39"/>
      <c r="J89" s="29"/>
      <c r="K89" s="38"/>
      <c r="L89" s="29"/>
      <c r="M89" s="38"/>
      <c r="N89" s="28">
        <v>2</v>
      </c>
    </row>
    <row r="90" spans="1:17" ht="10.5" hidden="1" customHeight="1" x14ac:dyDescent="0.3">
      <c r="A90" s="13" t="s">
        <v>192</v>
      </c>
      <c r="B90" s="13" t="s">
        <v>234</v>
      </c>
      <c r="C90" s="12" t="s">
        <v>49</v>
      </c>
      <c r="D90" s="13" t="s">
        <v>553</v>
      </c>
      <c r="E90" s="12" t="s">
        <v>699</v>
      </c>
      <c r="F90" s="31" t="s">
        <v>700</v>
      </c>
      <c r="G90" s="12" t="s">
        <v>326</v>
      </c>
      <c r="H90" s="13">
        <v>2</v>
      </c>
      <c r="I90" s="39"/>
      <c r="J90" s="29"/>
      <c r="K90" s="38"/>
      <c r="L90" s="29"/>
      <c r="M90" s="38"/>
      <c r="N90" s="28">
        <v>2</v>
      </c>
    </row>
    <row r="91" spans="1:17" ht="10.5" hidden="1" customHeight="1" x14ac:dyDescent="0.3">
      <c r="A91" s="13" t="s">
        <v>192</v>
      </c>
      <c r="B91" s="13" t="s">
        <v>234</v>
      </c>
      <c r="C91" s="12" t="s">
        <v>49</v>
      </c>
      <c r="D91" s="13" t="s">
        <v>553</v>
      </c>
      <c r="E91" s="12" t="s">
        <v>701</v>
      </c>
      <c r="F91" s="31" t="s">
        <v>702</v>
      </c>
      <c r="G91" s="12" t="s">
        <v>327</v>
      </c>
      <c r="H91" s="13">
        <v>2</v>
      </c>
      <c r="I91" s="39"/>
      <c r="J91" s="29"/>
      <c r="K91" s="38"/>
      <c r="L91" s="29"/>
      <c r="M91" s="38"/>
      <c r="N91" s="28">
        <v>2</v>
      </c>
    </row>
    <row r="92" spans="1:17" ht="10.5" hidden="1" customHeight="1" x14ac:dyDescent="0.3">
      <c r="A92" s="13" t="s">
        <v>192</v>
      </c>
      <c r="B92" s="13" t="s">
        <v>234</v>
      </c>
      <c r="C92" s="12" t="s">
        <v>49</v>
      </c>
      <c r="D92" s="13" t="s">
        <v>553</v>
      </c>
      <c r="E92" s="12" t="s">
        <v>733</v>
      </c>
      <c r="F92" s="31" t="s">
        <v>734</v>
      </c>
      <c r="G92" s="12" t="s">
        <v>236</v>
      </c>
      <c r="H92" s="26">
        <v>3</v>
      </c>
      <c r="I92" s="39"/>
      <c r="J92" s="29"/>
      <c r="K92" s="38"/>
      <c r="L92" s="29"/>
      <c r="M92" s="38"/>
      <c r="Q92" s="28">
        <v>3</v>
      </c>
    </row>
    <row r="93" spans="1:17" ht="10.5" hidden="1" customHeight="1" x14ac:dyDescent="0.3">
      <c r="A93" s="13" t="s">
        <v>192</v>
      </c>
      <c r="B93" s="13" t="s">
        <v>234</v>
      </c>
      <c r="C93" s="12" t="s">
        <v>49</v>
      </c>
      <c r="D93" s="13" t="s">
        <v>553</v>
      </c>
      <c r="E93" s="12" t="s">
        <v>703</v>
      </c>
      <c r="F93" s="31" t="s">
        <v>704</v>
      </c>
      <c r="G93" s="12" t="s">
        <v>328</v>
      </c>
      <c r="H93" s="13">
        <v>2</v>
      </c>
      <c r="I93" s="39"/>
      <c r="J93" s="29"/>
      <c r="K93" s="38"/>
      <c r="L93" s="29"/>
      <c r="M93" s="38"/>
      <c r="N93" s="28">
        <v>2</v>
      </c>
    </row>
    <row r="94" spans="1:17" ht="10.5" hidden="1" customHeight="1" x14ac:dyDescent="0.3">
      <c r="A94" s="13" t="s">
        <v>192</v>
      </c>
      <c r="B94" s="13" t="s">
        <v>234</v>
      </c>
      <c r="C94" s="12" t="s">
        <v>49</v>
      </c>
      <c r="D94" s="13" t="s">
        <v>553</v>
      </c>
      <c r="E94" s="12" t="s">
        <v>731</v>
      </c>
      <c r="F94" s="31" t="s">
        <v>732</v>
      </c>
      <c r="G94" s="12" t="s">
        <v>241</v>
      </c>
      <c r="H94" s="26">
        <v>3</v>
      </c>
      <c r="I94" s="39"/>
      <c r="J94" s="29"/>
      <c r="K94" s="38"/>
      <c r="L94" s="29"/>
      <c r="M94" s="38"/>
      <c r="Q94" s="28">
        <v>3</v>
      </c>
    </row>
    <row r="95" spans="1:17" ht="10.5" hidden="1" customHeight="1" x14ac:dyDescent="0.3">
      <c r="A95" s="13" t="s">
        <v>192</v>
      </c>
      <c r="B95" s="13" t="s">
        <v>234</v>
      </c>
      <c r="C95" s="12" t="s">
        <v>49</v>
      </c>
      <c r="D95" s="13" t="s">
        <v>553</v>
      </c>
      <c r="E95" s="31" t="s">
        <v>705</v>
      </c>
      <c r="F95" s="31" t="s">
        <v>706</v>
      </c>
      <c r="G95" s="12" t="s">
        <v>329</v>
      </c>
      <c r="H95" s="13">
        <v>2</v>
      </c>
      <c r="I95" s="39"/>
      <c r="J95" s="29"/>
      <c r="K95" s="38"/>
      <c r="L95" s="29"/>
      <c r="M95" s="38"/>
    </row>
    <row r="96" spans="1:17" ht="10.5" hidden="1" customHeight="1" x14ac:dyDescent="0.3">
      <c r="A96" s="13" t="s">
        <v>192</v>
      </c>
      <c r="B96" s="13" t="s">
        <v>234</v>
      </c>
      <c r="C96" s="12" t="s">
        <v>49</v>
      </c>
      <c r="D96" s="13" t="s">
        <v>553</v>
      </c>
      <c r="E96" s="12" t="s">
        <v>707</v>
      </c>
      <c r="F96" s="31" t="s">
        <v>708</v>
      </c>
      <c r="G96" s="12" t="s">
        <v>315</v>
      </c>
      <c r="H96" s="13">
        <v>2</v>
      </c>
      <c r="I96" s="39"/>
      <c r="J96" s="29"/>
      <c r="K96" s="38"/>
      <c r="L96" s="29"/>
      <c r="M96" s="38"/>
    </row>
    <row r="97" spans="1:17" ht="10.5" hidden="1" customHeight="1" x14ac:dyDescent="0.3">
      <c r="A97" s="13" t="s">
        <v>192</v>
      </c>
      <c r="B97" s="13" t="s">
        <v>234</v>
      </c>
      <c r="C97" s="12" t="s">
        <v>49</v>
      </c>
      <c r="D97" s="13" t="s">
        <v>553</v>
      </c>
      <c r="E97" s="12" t="s">
        <v>727</v>
      </c>
      <c r="F97" s="31" t="s">
        <v>728</v>
      </c>
      <c r="G97" s="12" t="s">
        <v>237</v>
      </c>
      <c r="H97" s="26">
        <v>3</v>
      </c>
      <c r="I97" s="39"/>
      <c r="J97" s="29"/>
      <c r="K97" s="38"/>
      <c r="L97" s="29"/>
      <c r="M97" s="38"/>
      <c r="Q97" s="28">
        <v>3</v>
      </c>
    </row>
    <row r="98" spans="1:17" ht="10.5" hidden="1" customHeight="1" x14ac:dyDescent="0.3">
      <c r="A98" s="13" t="s">
        <v>192</v>
      </c>
      <c r="B98" s="13" t="s">
        <v>234</v>
      </c>
      <c r="C98" s="12" t="s">
        <v>49</v>
      </c>
      <c r="D98" s="13" t="s">
        <v>553</v>
      </c>
      <c r="E98" s="12" t="s">
        <v>729</v>
      </c>
      <c r="F98" s="31" t="s">
        <v>730</v>
      </c>
      <c r="G98" s="12" t="s">
        <v>238</v>
      </c>
      <c r="H98" s="26">
        <v>3</v>
      </c>
      <c r="I98" s="39"/>
      <c r="J98" s="29"/>
      <c r="K98" s="38"/>
      <c r="L98" s="29"/>
      <c r="M98" s="38"/>
      <c r="Q98" s="28">
        <v>3</v>
      </c>
    </row>
    <row r="99" spans="1:17" ht="10.5" customHeight="1" x14ac:dyDescent="0.3">
      <c r="A99" s="13" t="s">
        <v>192</v>
      </c>
      <c r="B99" s="6" t="s">
        <v>234</v>
      </c>
      <c r="C99" s="12" t="s">
        <v>49</v>
      </c>
      <c r="D99" s="13" t="s">
        <v>553</v>
      </c>
      <c r="E99" s="12" t="s">
        <v>536</v>
      </c>
      <c r="F99" s="12" t="s">
        <v>537</v>
      </c>
      <c r="G99" s="12" t="s">
        <v>316</v>
      </c>
      <c r="H99" s="1">
        <v>1</v>
      </c>
      <c r="I99" s="39"/>
      <c r="J99" s="29">
        <v>1</v>
      </c>
      <c r="K99" s="38">
        <v>1</v>
      </c>
      <c r="L99" s="29">
        <v>1</v>
      </c>
      <c r="M99" s="38">
        <v>1</v>
      </c>
    </row>
    <row r="100" spans="1:17" ht="10.5" customHeight="1" x14ac:dyDescent="0.3">
      <c r="A100" s="13" t="s">
        <v>192</v>
      </c>
      <c r="B100" s="6" t="s">
        <v>234</v>
      </c>
      <c r="C100" s="12" t="s">
        <v>49</v>
      </c>
      <c r="D100" s="13" t="s">
        <v>553</v>
      </c>
      <c r="E100" s="12" t="s">
        <v>538</v>
      </c>
      <c r="F100" s="12" t="s">
        <v>539</v>
      </c>
      <c r="G100" s="12" t="s">
        <v>317</v>
      </c>
      <c r="H100" s="1">
        <v>1</v>
      </c>
      <c r="I100" s="39"/>
      <c r="J100" s="29">
        <v>1</v>
      </c>
      <c r="K100" s="38">
        <v>1</v>
      </c>
      <c r="L100" s="29">
        <v>1</v>
      </c>
      <c r="M100" s="38">
        <v>1</v>
      </c>
    </row>
    <row r="101" spans="1:17" ht="10.5" customHeight="1" x14ac:dyDescent="0.3">
      <c r="A101" s="13" t="s">
        <v>192</v>
      </c>
      <c r="B101" s="6" t="s">
        <v>234</v>
      </c>
      <c r="C101" s="12" t="s">
        <v>49</v>
      </c>
      <c r="D101" s="13" t="s">
        <v>553</v>
      </c>
      <c r="E101" s="12" t="s">
        <v>540</v>
      </c>
      <c r="F101" s="12" t="s">
        <v>541</v>
      </c>
      <c r="G101" s="12" t="s">
        <v>318</v>
      </c>
      <c r="H101" s="1">
        <v>1</v>
      </c>
      <c r="I101" s="39"/>
      <c r="J101" s="29">
        <v>1</v>
      </c>
      <c r="K101" s="38">
        <v>1</v>
      </c>
      <c r="L101" s="29">
        <v>1</v>
      </c>
      <c r="M101" s="38">
        <v>1</v>
      </c>
    </row>
    <row r="102" spans="1:17" ht="10.5" hidden="1" customHeight="1" x14ac:dyDescent="0.3">
      <c r="A102" s="13" t="s">
        <v>192</v>
      </c>
      <c r="B102" s="13" t="s">
        <v>234</v>
      </c>
      <c r="C102" s="12" t="s">
        <v>7</v>
      </c>
      <c r="D102" s="13" t="s">
        <v>553</v>
      </c>
      <c r="E102" s="12" t="s">
        <v>245</v>
      </c>
      <c r="G102" s="12" t="s">
        <v>244</v>
      </c>
      <c r="H102" s="26">
        <v>3</v>
      </c>
      <c r="I102" s="39"/>
      <c r="J102" s="29"/>
      <c r="K102" s="38"/>
      <c r="L102" s="29"/>
      <c r="M102" s="38"/>
      <c r="Q102" s="28">
        <v>3</v>
      </c>
    </row>
    <row r="103" spans="1:17" ht="10.5" hidden="1" customHeight="1" x14ac:dyDescent="0.3">
      <c r="A103" s="13" t="s">
        <v>192</v>
      </c>
      <c r="B103" s="13" t="s">
        <v>234</v>
      </c>
      <c r="C103" s="12" t="s">
        <v>7</v>
      </c>
      <c r="D103" s="13" t="s">
        <v>553</v>
      </c>
      <c r="E103" s="12" t="s">
        <v>411</v>
      </c>
      <c r="G103" s="12" t="s">
        <v>246</v>
      </c>
      <c r="H103" s="26">
        <v>3</v>
      </c>
      <c r="I103" s="39"/>
      <c r="J103" s="29"/>
      <c r="K103" s="38"/>
      <c r="L103" s="29"/>
      <c r="M103" s="38"/>
      <c r="Q103" s="28">
        <v>3</v>
      </c>
    </row>
    <row r="104" spans="1:17" ht="10.5" hidden="1" customHeight="1" x14ac:dyDescent="0.3">
      <c r="A104" s="13" t="s">
        <v>192</v>
      </c>
      <c r="B104" s="13" t="s">
        <v>234</v>
      </c>
      <c r="C104" s="12" t="s">
        <v>7</v>
      </c>
      <c r="D104" s="13" t="s">
        <v>553</v>
      </c>
      <c r="E104" s="12" t="s">
        <v>332</v>
      </c>
      <c r="G104" s="12" t="s">
        <v>331</v>
      </c>
      <c r="H104" s="13">
        <v>2</v>
      </c>
      <c r="I104" s="39"/>
      <c r="J104" s="29"/>
      <c r="K104" s="38"/>
      <c r="L104" s="29"/>
      <c r="M104" s="38"/>
    </row>
    <row r="105" spans="1:17" ht="10.5" hidden="1" customHeight="1" x14ac:dyDescent="0.3">
      <c r="A105" s="13" t="s">
        <v>192</v>
      </c>
      <c r="B105" s="13" t="s">
        <v>234</v>
      </c>
      <c r="C105" s="12" t="s">
        <v>68</v>
      </c>
      <c r="D105" s="13" t="s">
        <v>553</v>
      </c>
      <c r="E105" s="12" t="s">
        <v>279</v>
      </c>
      <c r="G105" s="12" t="s">
        <v>278</v>
      </c>
      <c r="H105" s="13">
        <v>2</v>
      </c>
      <c r="I105" s="39"/>
      <c r="J105" s="29"/>
      <c r="K105" s="38"/>
      <c r="L105" s="29"/>
      <c r="M105" s="38"/>
    </row>
    <row r="106" spans="1:17" ht="10.5" hidden="1" customHeight="1" x14ac:dyDescent="0.3">
      <c r="A106" s="13" t="s">
        <v>192</v>
      </c>
      <c r="B106" s="13" t="s">
        <v>234</v>
      </c>
      <c r="C106" s="12" t="s">
        <v>68</v>
      </c>
      <c r="D106" s="13" t="s">
        <v>553</v>
      </c>
      <c r="E106" s="12" t="s">
        <v>281</v>
      </c>
      <c r="G106" s="12" t="s">
        <v>280</v>
      </c>
      <c r="H106" s="26">
        <v>3</v>
      </c>
      <c r="I106" s="39"/>
      <c r="J106" s="29"/>
      <c r="K106" s="38"/>
      <c r="L106" s="29"/>
      <c r="M106" s="38"/>
      <c r="Q106" s="28">
        <v>3</v>
      </c>
    </row>
    <row r="107" spans="1:17" ht="10.5" customHeight="1" x14ac:dyDescent="0.3">
      <c r="A107" s="13" t="s">
        <v>192</v>
      </c>
      <c r="B107" s="6" t="s">
        <v>234</v>
      </c>
      <c r="C107" s="12" t="s">
        <v>542</v>
      </c>
      <c r="D107" s="13" t="s">
        <v>553</v>
      </c>
      <c r="E107" s="12" t="s">
        <v>543</v>
      </c>
      <c r="F107" s="12" t="s">
        <v>542</v>
      </c>
      <c r="G107" s="12" t="s">
        <v>333</v>
      </c>
      <c r="H107" s="1">
        <v>1</v>
      </c>
      <c r="I107" s="39">
        <v>1</v>
      </c>
      <c r="J107" s="29">
        <v>1</v>
      </c>
      <c r="K107" s="38">
        <v>1</v>
      </c>
      <c r="L107" s="29">
        <v>1</v>
      </c>
      <c r="M107" s="38">
        <v>1</v>
      </c>
    </row>
    <row r="108" spans="1:17" ht="10.5" customHeight="1" x14ac:dyDescent="0.3">
      <c r="A108" s="13" t="s">
        <v>192</v>
      </c>
      <c r="B108" s="6" t="s">
        <v>234</v>
      </c>
      <c r="C108" s="12" t="s">
        <v>542</v>
      </c>
      <c r="D108" s="13" t="s">
        <v>553</v>
      </c>
      <c r="E108" s="12" t="s">
        <v>544</v>
      </c>
      <c r="F108" s="12" t="s">
        <v>542</v>
      </c>
      <c r="G108" s="12" t="s">
        <v>334</v>
      </c>
      <c r="H108" s="1">
        <v>1</v>
      </c>
      <c r="I108" s="39">
        <v>1</v>
      </c>
      <c r="J108" s="29">
        <v>1</v>
      </c>
      <c r="K108" s="38">
        <v>1</v>
      </c>
      <c r="L108" s="29">
        <v>1</v>
      </c>
      <c r="M108" s="38">
        <v>1</v>
      </c>
    </row>
    <row r="109" spans="1:17" ht="10.5" hidden="1" customHeight="1" x14ac:dyDescent="0.3">
      <c r="A109" s="13" t="s">
        <v>192</v>
      </c>
      <c r="B109" s="13" t="s">
        <v>234</v>
      </c>
      <c r="C109" s="12" t="s">
        <v>70</v>
      </c>
      <c r="D109" s="13" t="s">
        <v>553</v>
      </c>
      <c r="E109" s="12" t="s">
        <v>709</v>
      </c>
      <c r="F109" s="31" t="s">
        <v>710</v>
      </c>
      <c r="G109" s="12" t="s">
        <v>335</v>
      </c>
      <c r="H109" s="13">
        <v>2</v>
      </c>
      <c r="I109" s="39"/>
      <c r="J109" s="29"/>
      <c r="K109" s="38"/>
      <c r="L109" s="29"/>
      <c r="M109" s="38"/>
    </row>
    <row r="110" spans="1:17" ht="10.5" hidden="1" customHeight="1" x14ac:dyDescent="0.3">
      <c r="A110" s="13" t="s">
        <v>192</v>
      </c>
      <c r="B110" s="13" t="s">
        <v>234</v>
      </c>
      <c r="C110" s="12" t="s">
        <v>70</v>
      </c>
      <c r="D110" s="13" t="s">
        <v>553</v>
      </c>
      <c r="E110" s="12" t="s">
        <v>711</v>
      </c>
      <c r="F110" s="31" t="s">
        <v>712</v>
      </c>
      <c r="G110" s="12" t="s">
        <v>336</v>
      </c>
      <c r="H110" s="13">
        <v>2</v>
      </c>
      <c r="I110" s="39"/>
      <c r="J110" s="29"/>
      <c r="K110" s="38"/>
      <c r="L110" s="29"/>
      <c r="M110" s="38"/>
    </row>
    <row r="111" spans="1:17" ht="10.5" hidden="1" customHeight="1" x14ac:dyDescent="0.3">
      <c r="A111" s="13" t="s">
        <v>192</v>
      </c>
      <c r="B111" s="13" t="s">
        <v>234</v>
      </c>
      <c r="C111" s="12" t="s">
        <v>70</v>
      </c>
      <c r="D111" s="13" t="s">
        <v>553</v>
      </c>
      <c r="E111" s="12" t="s">
        <v>724</v>
      </c>
      <c r="F111" s="31" t="s">
        <v>572</v>
      </c>
      <c r="G111" s="12" t="s">
        <v>723</v>
      </c>
      <c r="H111" s="13">
        <v>2</v>
      </c>
      <c r="I111" s="39"/>
      <c r="J111" s="29"/>
      <c r="K111" s="38"/>
      <c r="L111" s="29"/>
      <c r="M111" s="38"/>
    </row>
    <row r="112" spans="1:17" ht="10.5" hidden="1" customHeight="1" x14ac:dyDescent="0.3">
      <c r="A112" s="13" t="s">
        <v>192</v>
      </c>
      <c r="B112" s="13" t="s">
        <v>658</v>
      </c>
      <c r="C112" s="12" t="s">
        <v>70</v>
      </c>
      <c r="D112" s="13" t="s">
        <v>659</v>
      </c>
      <c r="E112" s="12" t="s">
        <v>661</v>
      </c>
      <c r="F112" s="31" t="s">
        <v>662</v>
      </c>
      <c r="G112" s="12" t="s">
        <v>660</v>
      </c>
      <c r="H112" s="13">
        <v>2</v>
      </c>
      <c r="I112" s="39"/>
      <c r="J112" s="29"/>
      <c r="K112" s="38"/>
      <c r="L112" s="29"/>
      <c r="M112" s="38"/>
    </row>
    <row r="113" spans="1:18" ht="10.5" hidden="1" customHeight="1" x14ac:dyDescent="0.3">
      <c r="A113" s="13" t="s">
        <v>192</v>
      </c>
      <c r="B113" s="13" t="s">
        <v>658</v>
      </c>
      <c r="C113" s="12" t="s">
        <v>19</v>
      </c>
      <c r="D113" s="13" t="s">
        <v>659</v>
      </c>
      <c r="E113" s="12" t="s">
        <v>720</v>
      </c>
      <c r="F113" s="31" t="s">
        <v>721</v>
      </c>
      <c r="G113" s="12" t="s">
        <v>722</v>
      </c>
      <c r="H113" s="13">
        <v>2</v>
      </c>
      <c r="I113" s="39"/>
      <c r="J113" s="29"/>
      <c r="K113" s="38"/>
      <c r="L113" s="29"/>
      <c r="M113" s="38"/>
    </row>
    <row r="114" spans="1:18" ht="10.5" hidden="1" customHeight="1" x14ac:dyDescent="0.3">
      <c r="A114" s="13" t="s">
        <v>192</v>
      </c>
      <c r="B114" s="13" t="s">
        <v>658</v>
      </c>
      <c r="C114" s="12" t="s">
        <v>19</v>
      </c>
      <c r="D114" s="13" t="s">
        <v>659</v>
      </c>
      <c r="E114" s="12" t="s">
        <v>717</v>
      </c>
      <c r="F114" s="31" t="s">
        <v>718</v>
      </c>
      <c r="G114" s="12" t="s">
        <v>719</v>
      </c>
      <c r="H114" s="13">
        <v>2</v>
      </c>
      <c r="I114" s="39"/>
      <c r="J114" s="29"/>
      <c r="K114" s="38"/>
      <c r="L114" s="29"/>
      <c r="M114" s="38"/>
    </row>
    <row r="115" spans="1:18" ht="10.5" hidden="1" customHeight="1" x14ac:dyDescent="0.3">
      <c r="A115" s="13" t="s">
        <v>192</v>
      </c>
      <c r="B115" s="13" t="s">
        <v>234</v>
      </c>
      <c r="C115" s="12" t="s">
        <v>100</v>
      </c>
      <c r="D115" s="13" t="s">
        <v>553</v>
      </c>
      <c r="E115" s="12" t="s">
        <v>285</v>
      </c>
      <c r="G115" s="12" t="s">
        <v>284</v>
      </c>
      <c r="H115" s="26">
        <v>3</v>
      </c>
      <c r="I115" s="39"/>
      <c r="J115" s="29"/>
      <c r="K115" s="38"/>
      <c r="L115" s="29"/>
      <c r="M115" s="38"/>
      <c r="R115" s="28">
        <v>3</v>
      </c>
    </row>
    <row r="116" spans="1:18" ht="10.5" hidden="1" customHeight="1" x14ac:dyDescent="0.3">
      <c r="A116" s="13" t="s">
        <v>192</v>
      </c>
      <c r="B116" s="13" t="s">
        <v>234</v>
      </c>
      <c r="C116" s="12" t="s">
        <v>129</v>
      </c>
      <c r="D116" s="13" t="s">
        <v>553</v>
      </c>
      <c r="E116" s="12" t="s">
        <v>193</v>
      </c>
      <c r="G116" s="12" t="s">
        <v>337</v>
      </c>
      <c r="H116" s="13">
        <v>2</v>
      </c>
      <c r="I116" s="39"/>
      <c r="J116" s="29"/>
      <c r="K116" s="38"/>
      <c r="L116" s="29"/>
      <c r="M116" s="38"/>
    </row>
    <row r="117" spans="1:18" ht="10.5" hidden="1" customHeight="1" x14ac:dyDescent="0.3">
      <c r="A117" s="13" t="s">
        <v>192</v>
      </c>
      <c r="B117" s="13" t="s">
        <v>234</v>
      </c>
      <c r="C117" s="12" t="s">
        <v>248</v>
      </c>
      <c r="D117" s="13" t="s">
        <v>553</v>
      </c>
      <c r="E117" s="12" t="s">
        <v>408</v>
      </c>
      <c r="G117" s="12" t="s">
        <v>247</v>
      </c>
      <c r="H117" s="26">
        <v>3</v>
      </c>
      <c r="I117" s="39"/>
      <c r="J117" s="29"/>
      <c r="K117" s="38"/>
      <c r="L117" s="29"/>
      <c r="M117" s="38"/>
      <c r="R117" s="28">
        <v>3</v>
      </c>
    </row>
    <row r="118" spans="1:18" ht="10.5" hidden="1" customHeight="1" x14ac:dyDescent="0.3">
      <c r="A118" s="13" t="s">
        <v>192</v>
      </c>
      <c r="B118" s="13" t="s">
        <v>234</v>
      </c>
      <c r="C118" s="12" t="s">
        <v>248</v>
      </c>
      <c r="D118" s="13" t="s">
        <v>553</v>
      </c>
      <c r="E118" s="12" t="s">
        <v>259</v>
      </c>
      <c r="G118" s="12" t="s">
        <v>258</v>
      </c>
      <c r="H118" s="26">
        <v>3</v>
      </c>
      <c r="I118" s="39"/>
      <c r="J118" s="29"/>
      <c r="K118" s="38"/>
      <c r="L118" s="29"/>
      <c r="M118" s="38"/>
      <c r="R118" s="28">
        <v>3</v>
      </c>
    </row>
    <row r="119" spans="1:18" ht="10.5" hidden="1" customHeight="1" x14ac:dyDescent="0.3">
      <c r="A119" s="13" t="s">
        <v>192</v>
      </c>
      <c r="B119" s="13" t="s">
        <v>234</v>
      </c>
      <c r="C119" s="12" t="s">
        <v>248</v>
      </c>
      <c r="D119" s="13" t="s">
        <v>553</v>
      </c>
      <c r="E119" s="12" t="s">
        <v>261</v>
      </c>
      <c r="G119" s="12" t="s">
        <v>260</v>
      </c>
      <c r="H119" s="26">
        <v>3</v>
      </c>
      <c r="I119" s="39"/>
      <c r="J119" s="29"/>
      <c r="K119" s="38"/>
      <c r="L119" s="29"/>
      <c r="M119" s="38"/>
      <c r="R119" s="28">
        <v>3</v>
      </c>
    </row>
    <row r="120" spans="1:18" ht="10.5" hidden="1" customHeight="1" x14ac:dyDescent="0.3">
      <c r="A120" s="13" t="s">
        <v>192</v>
      </c>
      <c r="B120" s="13" t="s">
        <v>234</v>
      </c>
      <c r="C120" s="12" t="s">
        <v>248</v>
      </c>
      <c r="D120" s="13" t="s">
        <v>553</v>
      </c>
      <c r="E120" s="12" t="s">
        <v>414</v>
      </c>
      <c r="G120" s="12" t="s">
        <v>264</v>
      </c>
      <c r="H120" s="26">
        <v>3</v>
      </c>
      <c r="I120" s="39"/>
      <c r="J120" s="29"/>
      <c r="K120" s="38"/>
      <c r="L120" s="29"/>
      <c r="M120" s="38"/>
      <c r="R120" s="28">
        <v>3</v>
      </c>
    </row>
    <row r="121" spans="1:18" ht="10.5" hidden="1" customHeight="1" x14ac:dyDescent="0.3">
      <c r="A121" s="13" t="s">
        <v>192</v>
      </c>
      <c r="B121" s="13" t="s">
        <v>234</v>
      </c>
      <c r="C121" s="12" t="s">
        <v>248</v>
      </c>
      <c r="D121" s="13" t="s">
        <v>553</v>
      </c>
      <c r="E121" s="12" t="s">
        <v>415</v>
      </c>
      <c r="G121" s="12" t="s">
        <v>265</v>
      </c>
      <c r="H121" s="26">
        <v>3</v>
      </c>
      <c r="I121" s="39"/>
      <c r="J121" s="29"/>
      <c r="K121" s="38"/>
      <c r="L121" s="29"/>
      <c r="M121" s="38"/>
      <c r="R121" s="28">
        <v>3</v>
      </c>
    </row>
    <row r="122" spans="1:18" ht="10.5" hidden="1" customHeight="1" x14ac:dyDescent="0.3">
      <c r="A122" s="13" t="s">
        <v>192</v>
      </c>
      <c r="B122" s="13" t="s">
        <v>234</v>
      </c>
      <c r="C122" s="12" t="s">
        <v>248</v>
      </c>
      <c r="D122" s="13" t="s">
        <v>553</v>
      </c>
      <c r="E122" s="12" t="s">
        <v>269</v>
      </c>
      <c r="G122" s="12" t="s">
        <v>268</v>
      </c>
      <c r="H122" s="26">
        <v>3</v>
      </c>
      <c r="I122" s="39"/>
      <c r="J122" s="29"/>
      <c r="K122" s="38"/>
      <c r="L122" s="29"/>
      <c r="M122" s="38"/>
      <c r="R122" s="28">
        <v>3</v>
      </c>
    </row>
    <row r="123" spans="1:18" ht="10.5" hidden="1" customHeight="1" x14ac:dyDescent="0.3">
      <c r="A123" s="13" t="s">
        <v>192</v>
      </c>
      <c r="B123" s="13" t="s">
        <v>234</v>
      </c>
      <c r="C123" s="12" t="s">
        <v>248</v>
      </c>
      <c r="D123" s="13" t="s">
        <v>553</v>
      </c>
      <c r="E123" s="12" t="s">
        <v>410</v>
      </c>
      <c r="G123" s="12" t="s">
        <v>249</v>
      </c>
      <c r="H123" s="26">
        <v>3</v>
      </c>
      <c r="I123" s="39"/>
      <c r="J123" s="29"/>
      <c r="K123" s="38"/>
      <c r="L123" s="29"/>
      <c r="M123" s="38"/>
      <c r="R123" s="28">
        <v>3</v>
      </c>
    </row>
    <row r="124" spans="1:18" ht="10.5" hidden="1" customHeight="1" x14ac:dyDescent="0.3">
      <c r="A124" s="13" t="s">
        <v>192</v>
      </c>
      <c r="B124" s="13" t="s">
        <v>234</v>
      </c>
      <c r="C124" s="12" t="s">
        <v>248</v>
      </c>
      <c r="D124" s="13" t="s">
        <v>553</v>
      </c>
      <c r="E124" s="12" t="s">
        <v>409</v>
      </c>
      <c r="G124" s="12" t="s">
        <v>250</v>
      </c>
      <c r="H124" s="26">
        <v>3</v>
      </c>
      <c r="I124" s="39"/>
      <c r="J124" s="29"/>
      <c r="K124" s="38"/>
      <c r="L124" s="29"/>
      <c r="M124" s="38"/>
      <c r="R124" s="28">
        <v>3</v>
      </c>
    </row>
    <row r="125" spans="1:18" ht="10.5" hidden="1" customHeight="1" x14ac:dyDescent="0.3">
      <c r="A125" s="13" t="s">
        <v>192</v>
      </c>
      <c r="B125" s="13" t="s">
        <v>234</v>
      </c>
      <c r="C125" s="12" t="s">
        <v>248</v>
      </c>
      <c r="D125" s="13" t="s">
        <v>553</v>
      </c>
      <c r="E125" s="12" t="s">
        <v>252</v>
      </c>
      <c r="G125" s="12" t="s">
        <v>251</v>
      </c>
      <c r="H125" s="26">
        <v>3</v>
      </c>
      <c r="I125" s="39"/>
      <c r="J125" s="29"/>
      <c r="K125" s="38"/>
      <c r="L125" s="29"/>
      <c r="M125" s="38"/>
      <c r="R125" s="28">
        <v>3</v>
      </c>
    </row>
    <row r="126" spans="1:18" ht="10.5" hidden="1" customHeight="1" x14ac:dyDescent="0.3">
      <c r="A126" s="13" t="s">
        <v>192</v>
      </c>
      <c r="B126" s="13" t="s">
        <v>234</v>
      </c>
      <c r="C126" s="12" t="s">
        <v>248</v>
      </c>
      <c r="D126" s="13" t="s">
        <v>553</v>
      </c>
      <c r="E126" s="12" t="s">
        <v>408</v>
      </c>
      <c r="G126" s="12" t="s">
        <v>253</v>
      </c>
      <c r="H126" s="26">
        <v>3</v>
      </c>
      <c r="I126" s="39"/>
      <c r="J126" s="29"/>
      <c r="K126" s="38"/>
      <c r="L126" s="29"/>
      <c r="M126" s="38"/>
      <c r="R126" s="28">
        <v>3</v>
      </c>
    </row>
    <row r="127" spans="1:18" ht="10.5" hidden="1" customHeight="1" x14ac:dyDescent="0.3">
      <c r="A127" s="13" t="s">
        <v>192</v>
      </c>
      <c r="B127" s="13" t="s">
        <v>234</v>
      </c>
      <c r="C127" s="12" t="s">
        <v>248</v>
      </c>
      <c r="D127" s="13" t="s">
        <v>553</v>
      </c>
      <c r="E127" s="12" t="s">
        <v>407</v>
      </c>
      <c r="G127" s="12" t="s">
        <v>254</v>
      </c>
      <c r="H127" s="26">
        <v>3</v>
      </c>
      <c r="I127" s="39"/>
      <c r="J127" s="29"/>
      <c r="K127" s="38"/>
      <c r="L127" s="29"/>
      <c r="M127" s="38"/>
      <c r="R127" s="28">
        <v>3</v>
      </c>
    </row>
    <row r="128" spans="1:18" ht="10.5" hidden="1" customHeight="1" x14ac:dyDescent="0.3">
      <c r="A128" s="13" t="s">
        <v>192</v>
      </c>
      <c r="B128" s="13" t="s">
        <v>234</v>
      </c>
      <c r="C128" s="12" t="s">
        <v>248</v>
      </c>
      <c r="D128" s="13" t="s">
        <v>553</v>
      </c>
      <c r="E128" s="12" t="s">
        <v>408</v>
      </c>
      <c r="G128" s="12" t="s">
        <v>255</v>
      </c>
      <c r="H128" s="26">
        <v>3</v>
      </c>
      <c r="I128" s="39"/>
      <c r="J128" s="29"/>
      <c r="K128" s="38"/>
      <c r="L128" s="29"/>
      <c r="M128" s="38"/>
      <c r="R128" s="28">
        <v>3</v>
      </c>
    </row>
    <row r="129" spans="1:19" ht="10.5" hidden="1" customHeight="1" x14ac:dyDescent="0.3">
      <c r="A129" s="13" t="s">
        <v>192</v>
      </c>
      <c r="B129" s="13" t="s">
        <v>234</v>
      </c>
      <c r="C129" s="12" t="s">
        <v>248</v>
      </c>
      <c r="D129" s="13" t="s">
        <v>553</v>
      </c>
      <c r="E129" s="12" t="s">
        <v>412</v>
      </c>
      <c r="G129" s="12" t="s">
        <v>256</v>
      </c>
      <c r="H129" s="26">
        <v>3</v>
      </c>
      <c r="I129" s="39"/>
      <c r="J129" s="29"/>
      <c r="K129" s="38"/>
      <c r="L129" s="29"/>
      <c r="M129" s="38"/>
      <c r="R129" s="28">
        <v>3</v>
      </c>
    </row>
    <row r="130" spans="1:19" ht="10.5" hidden="1" customHeight="1" x14ac:dyDescent="0.3">
      <c r="A130" s="13" t="s">
        <v>192</v>
      </c>
      <c r="B130" s="13" t="s">
        <v>234</v>
      </c>
      <c r="C130" s="12" t="s">
        <v>248</v>
      </c>
      <c r="D130" s="13" t="s">
        <v>553</v>
      </c>
      <c r="E130" s="12" t="s">
        <v>413</v>
      </c>
      <c r="G130" s="12" t="s">
        <v>257</v>
      </c>
      <c r="H130" s="26">
        <v>3</v>
      </c>
      <c r="I130" s="39"/>
      <c r="J130" s="29"/>
      <c r="K130" s="38"/>
      <c r="L130" s="29"/>
      <c r="M130" s="38"/>
      <c r="R130" s="28">
        <v>3</v>
      </c>
    </row>
    <row r="131" spans="1:19" ht="10.5" hidden="1" customHeight="1" x14ac:dyDescent="0.3">
      <c r="A131" s="13" t="s">
        <v>192</v>
      </c>
      <c r="B131" s="13" t="s">
        <v>234</v>
      </c>
      <c r="C131" s="12" t="s">
        <v>271</v>
      </c>
      <c r="D131" s="13" t="s">
        <v>553</v>
      </c>
      <c r="E131" s="12" t="s">
        <v>274</v>
      </c>
      <c r="G131" s="12" t="s">
        <v>273</v>
      </c>
      <c r="H131" s="26">
        <v>3</v>
      </c>
      <c r="I131" s="39"/>
      <c r="J131" s="29"/>
      <c r="K131" s="38"/>
      <c r="L131" s="29"/>
      <c r="M131" s="38"/>
      <c r="R131" s="28">
        <v>3</v>
      </c>
    </row>
    <row r="132" spans="1:19" ht="10.5" hidden="1" customHeight="1" x14ac:dyDescent="0.3">
      <c r="A132" s="13" t="s">
        <v>192</v>
      </c>
      <c r="B132" s="13" t="s">
        <v>234</v>
      </c>
      <c r="C132" s="12" t="s">
        <v>271</v>
      </c>
      <c r="D132" s="13" t="s">
        <v>553</v>
      </c>
      <c r="E132" s="12" t="s">
        <v>274</v>
      </c>
      <c r="G132" s="12" t="s">
        <v>275</v>
      </c>
      <c r="H132" s="26">
        <v>3</v>
      </c>
      <c r="I132" s="39"/>
      <c r="J132" s="29"/>
      <c r="K132" s="38"/>
      <c r="L132" s="29"/>
      <c r="M132" s="38"/>
      <c r="R132" s="28">
        <v>3</v>
      </c>
    </row>
    <row r="133" spans="1:19" ht="10.5" hidden="1" customHeight="1" x14ac:dyDescent="0.3">
      <c r="A133" s="13" t="s">
        <v>192</v>
      </c>
      <c r="B133" s="13" t="s">
        <v>234</v>
      </c>
      <c r="C133" s="12" t="s">
        <v>271</v>
      </c>
      <c r="D133" s="13" t="s">
        <v>553</v>
      </c>
      <c r="E133" s="12" t="s">
        <v>277</v>
      </c>
      <c r="G133" s="12" t="s">
        <v>276</v>
      </c>
      <c r="H133" s="26">
        <v>3</v>
      </c>
      <c r="I133" s="39"/>
      <c r="J133" s="29"/>
      <c r="K133" s="38"/>
      <c r="L133" s="29"/>
      <c r="M133" s="38"/>
      <c r="R133" s="28">
        <v>3</v>
      </c>
    </row>
    <row r="134" spans="1:19" ht="10.5" hidden="1" customHeight="1" x14ac:dyDescent="0.3">
      <c r="A134" s="13" t="s">
        <v>5</v>
      </c>
      <c r="B134" s="26" t="s">
        <v>163</v>
      </c>
      <c r="C134" s="27" t="s">
        <v>26</v>
      </c>
      <c r="D134" s="26" t="s">
        <v>556</v>
      </c>
      <c r="E134" s="27" t="s">
        <v>164</v>
      </c>
      <c r="G134" s="12" t="s">
        <v>162</v>
      </c>
      <c r="H134" s="26">
        <v>3</v>
      </c>
      <c r="I134" s="39"/>
      <c r="J134" s="29"/>
      <c r="K134" s="38"/>
      <c r="L134" s="29"/>
      <c r="M134" s="38"/>
      <c r="S134" s="28">
        <v>3</v>
      </c>
    </row>
    <row r="135" spans="1:19" ht="10.5" hidden="1" customHeight="1" x14ac:dyDescent="0.3">
      <c r="A135" s="13" t="s">
        <v>5</v>
      </c>
      <c r="B135" s="26" t="s">
        <v>163</v>
      </c>
      <c r="C135" s="27" t="s">
        <v>26</v>
      </c>
      <c r="D135" s="26" t="s">
        <v>556</v>
      </c>
      <c r="E135" s="27" t="s">
        <v>166</v>
      </c>
      <c r="G135" s="12" t="s">
        <v>165</v>
      </c>
      <c r="H135" s="26">
        <v>3</v>
      </c>
      <c r="I135" s="39"/>
      <c r="J135" s="29"/>
      <c r="K135" s="38"/>
      <c r="L135" s="29"/>
      <c r="M135" s="38"/>
      <c r="S135" s="28">
        <v>3</v>
      </c>
    </row>
    <row r="136" spans="1:19" ht="10.5" hidden="1" customHeight="1" x14ac:dyDescent="0.3">
      <c r="A136" s="13" t="s">
        <v>5</v>
      </c>
      <c r="B136" s="26" t="s">
        <v>163</v>
      </c>
      <c r="C136" s="27" t="s">
        <v>26</v>
      </c>
      <c r="D136" s="26" t="s">
        <v>556</v>
      </c>
      <c r="E136" s="27" t="s">
        <v>168</v>
      </c>
      <c r="G136" s="12" t="s">
        <v>167</v>
      </c>
      <c r="H136" s="26">
        <v>3</v>
      </c>
      <c r="I136" s="39"/>
      <c r="J136" s="29"/>
      <c r="K136" s="38"/>
      <c r="L136" s="29"/>
      <c r="M136" s="38"/>
      <c r="S136" s="28">
        <v>3</v>
      </c>
    </row>
    <row r="137" spans="1:19" ht="10.5" hidden="1" customHeight="1" x14ac:dyDescent="0.3">
      <c r="A137" s="13" t="s">
        <v>5</v>
      </c>
      <c r="B137" s="26" t="s">
        <v>163</v>
      </c>
      <c r="C137" s="27" t="s">
        <v>26</v>
      </c>
      <c r="D137" s="26" t="s">
        <v>556</v>
      </c>
      <c r="E137" s="27" t="s">
        <v>170</v>
      </c>
      <c r="G137" s="12" t="s">
        <v>169</v>
      </c>
      <c r="H137" s="26">
        <v>3</v>
      </c>
      <c r="I137" s="39"/>
      <c r="J137" s="29"/>
      <c r="K137" s="38"/>
      <c r="L137" s="29"/>
      <c r="M137" s="38"/>
      <c r="S137" s="28">
        <v>3</v>
      </c>
    </row>
    <row r="138" spans="1:19" ht="10.5" hidden="1" customHeight="1" x14ac:dyDescent="0.3">
      <c r="A138" s="13" t="s">
        <v>5</v>
      </c>
      <c r="B138" s="26" t="s">
        <v>163</v>
      </c>
      <c r="C138" s="27" t="s">
        <v>26</v>
      </c>
      <c r="D138" s="26" t="s">
        <v>556</v>
      </c>
      <c r="E138" s="27" t="s">
        <v>172</v>
      </c>
      <c r="G138" s="12" t="s">
        <v>171</v>
      </c>
      <c r="H138" s="26">
        <v>3</v>
      </c>
      <c r="I138" s="39"/>
      <c r="J138" s="29"/>
      <c r="K138" s="38"/>
      <c r="L138" s="29"/>
      <c r="M138" s="38"/>
      <c r="S138" s="28">
        <v>3</v>
      </c>
    </row>
    <row r="139" spans="1:19" ht="10.5" hidden="1" customHeight="1" x14ac:dyDescent="0.3">
      <c r="A139" s="13" t="s">
        <v>5</v>
      </c>
      <c r="B139" s="26" t="s">
        <v>163</v>
      </c>
      <c r="C139" s="27" t="s">
        <v>174</v>
      </c>
      <c r="D139" s="26" t="s">
        <v>556</v>
      </c>
      <c r="E139" s="27" t="s">
        <v>20</v>
      </c>
      <c r="G139" s="12" t="s">
        <v>173</v>
      </c>
      <c r="H139" s="26">
        <v>3</v>
      </c>
      <c r="I139" s="39"/>
      <c r="J139" s="29"/>
      <c r="K139" s="38"/>
      <c r="L139" s="29"/>
      <c r="M139" s="38"/>
      <c r="S139" s="28">
        <v>3</v>
      </c>
    </row>
    <row r="140" spans="1:19" ht="10.5" hidden="1" customHeight="1" x14ac:dyDescent="0.3">
      <c r="A140" s="13" t="s">
        <v>5</v>
      </c>
      <c r="B140" s="26" t="s">
        <v>105</v>
      </c>
      <c r="C140" s="27" t="s">
        <v>26</v>
      </c>
      <c r="D140" s="26" t="s">
        <v>556</v>
      </c>
      <c r="E140" s="27" t="s">
        <v>383</v>
      </c>
      <c r="G140" s="12" t="s">
        <v>113</v>
      </c>
      <c r="H140" s="26">
        <v>3</v>
      </c>
      <c r="I140" s="39"/>
      <c r="J140" s="29"/>
      <c r="K140" s="38"/>
      <c r="L140" s="29"/>
      <c r="M140" s="38"/>
      <c r="S140" s="28">
        <v>3</v>
      </c>
    </row>
    <row r="141" spans="1:19" ht="10.5" hidden="1" customHeight="1" x14ac:dyDescent="0.3">
      <c r="A141" s="13" t="s">
        <v>5</v>
      </c>
      <c r="B141" s="26" t="s">
        <v>105</v>
      </c>
      <c r="C141" s="27" t="s">
        <v>26</v>
      </c>
      <c r="D141" s="26" t="s">
        <v>556</v>
      </c>
      <c r="E141" s="27" t="s">
        <v>592</v>
      </c>
      <c r="G141" s="12" t="s">
        <v>116</v>
      </c>
      <c r="H141" s="26">
        <v>3</v>
      </c>
      <c r="I141" s="39"/>
      <c r="J141" s="29"/>
      <c r="K141" s="38"/>
      <c r="L141" s="29"/>
      <c r="M141" s="38"/>
      <c r="S141" s="28">
        <v>3</v>
      </c>
    </row>
    <row r="142" spans="1:19" ht="10.5" hidden="1" customHeight="1" x14ac:dyDescent="0.3">
      <c r="A142" s="13" t="s">
        <v>5</v>
      </c>
      <c r="B142" s="26" t="s">
        <v>105</v>
      </c>
      <c r="C142" s="27" t="s">
        <v>26</v>
      </c>
      <c r="D142" s="26" t="s">
        <v>556</v>
      </c>
      <c r="E142" s="27" t="s">
        <v>30</v>
      </c>
      <c r="G142" s="12" t="s">
        <v>119</v>
      </c>
      <c r="H142" s="26">
        <v>3</v>
      </c>
      <c r="I142" s="39"/>
      <c r="J142" s="29"/>
      <c r="K142" s="38"/>
      <c r="L142" s="29"/>
      <c r="M142" s="38"/>
      <c r="S142" s="28">
        <v>3</v>
      </c>
    </row>
    <row r="143" spans="1:19" ht="10.5" hidden="1" customHeight="1" x14ac:dyDescent="0.3">
      <c r="A143" s="13" t="s">
        <v>5</v>
      </c>
      <c r="B143" s="26" t="s">
        <v>105</v>
      </c>
      <c r="C143" s="27" t="s">
        <v>26</v>
      </c>
      <c r="D143" s="26" t="s">
        <v>556</v>
      </c>
      <c r="E143" s="27" t="s">
        <v>387</v>
      </c>
      <c r="G143" s="12" t="s">
        <v>120</v>
      </c>
      <c r="H143" s="26">
        <v>3</v>
      </c>
      <c r="I143" s="39"/>
      <c r="J143" s="29"/>
      <c r="K143" s="38"/>
      <c r="L143" s="29"/>
      <c r="M143" s="38"/>
      <c r="S143" s="28">
        <v>3</v>
      </c>
    </row>
    <row r="144" spans="1:19" ht="10.5" hidden="1" customHeight="1" x14ac:dyDescent="0.3">
      <c r="A144" s="13" t="s">
        <v>5</v>
      </c>
      <c r="B144" s="26" t="s">
        <v>105</v>
      </c>
      <c r="C144" s="27" t="s">
        <v>26</v>
      </c>
      <c r="D144" s="26" t="s">
        <v>556</v>
      </c>
      <c r="E144" s="27" t="s">
        <v>388</v>
      </c>
      <c r="G144" s="12" t="s">
        <v>121</v>
      </c>
      <c r="H144" s="26">
        <v>3</v>
      </c>
      <c r="I144" s="39"/>
      <c r="J144" s="29"/>
      <c r="K144" s="38"/>
      <c r="L144" s="29"/>
      <c r="M144" s="38"/>
      <c r="S144" s="28">
        <v>3</v>
      </c>
    </row>
    <row r="145" spans="1:20" ht="10.5" hidden="1" customHeight="1" x14ac:dyDescent="0.3">
      <c r="A145" s="13" t="s">
        <v>5</v>
      </c>
      <c r="B145" s="26" t="s">
        <v>105</v>
      </c>
      <c r="C145" s="27" t="s">
        <v>26</v>
      </c>
      <c r="D145" s="26" t="s">
        <v>556</v>
      </c>
      <c r="E145" s="27" t="s">
        <v>389</v>
      </c>
      <c r="G145" s="12" t="s">
        <v>122</v>
      </c>
      <c r="H145" s="26">
        <v>3</v>
      </c>
      <c r="I145" s="39"/>
      <c r="J145" s="29"/>
      <c r="K145" s="38"/>
      <c r="L145" s="29"/>
      <c r="M145" s="38"/>
      <c r="S145" s="28">
        <v>3</v>
      </c>
    </row>
    <row r="146" spans="1:20" ht="10.5" hidden="1" customHeight="1" x14ac:dyDescent="0.3">
      <c r="A146" s="13" t="s">
        <v>5</v>
      </c>
      <c r="B146" s="6" t="s">
        <v>105</v>
      </c>
      <c r="C146" s="27" t="s">
        <v>26</v>
      </c>
      <c r="D146" s="26" t="s">
        <v>556</v>
      </c>
      <c r="E146" s="27" t="s">
        <v>391</v>
      </c>
      <c r="G146" s="12" t="s">
        <v>560</v>
      </c>
      <c r="H146" s="26">
        <v>2</v>
      </c>
      <c r="I146" s="39"/>
      <c r="J146" s="29"/>
      <c r="K146" s="38"/>
      <c r="L146" s="29"/>
      <c r="M146" s="38"/>
    </row>
    <row r="147" spans="1:20" ht="10.5" hidden="1" customHeight="1" x14ac:dyDescent="0.3">
      <c r="A147" s="13" t="s">
        <v>5</v>
      </c>
      <c r="B147" s="26" t="s">
        <v>105</v>
      </c>
      <c r="C147" s="27" t="s">
        <v>26</v>
      </c>
      <c r="D147" s="26" t="s">
        <v>556</v>
      </c>
      <c r="E147" s="27" t="s">
        <v>390</v>
      </c>
      <c r="G147" s="12" t="s">
        <v>123</v>
      </c>
      <c r="H147" s="26">
        <v>3</v>
      </c>
      <c r="I147" s="39"/>
      <c r="J147" s="29"/>
      <c r="K147" s="38"/>
      <c r="L147" s="29"/>
      <c r="M147" s="38"/>
      <c r="S147" s="28">
        <v>3</v>
      </c>
    </row>
    <row r="148" spans="1:20" ht="10.5" hidden="1" customHeight="1" x14ac:dyDescent="0.3">
      <c r="A148" s="13" t="s">
        <v>5</v>
      </c>
      <c r="B148" s="6" t="s">
        <v>105</v>
      </c>
      <c r="C148" s="27" t="s">
        <v>26</v>
      </c>
      <c r="D148" s="26" t="s">
        <v>556</v>
      </c>
      <c r="E148" s="27" t="s">
        <v>392</v>
      </c>
      <c r="G148" s="12" t="s">
        <v>124</v>
      </c>
      <c r="H148" s="26">
        <v>2</v>
      </c>
      <c r="I148" s="39"/>
      <c r="J148" s="29"/>
      <c r="K148" s="38"/>
      <c r="L148" s="29"/>
      <c r="M148" s="38"/>
    </row>
    <row r="149" spans="1:20" ht="10.5" hidden="1" customHeight="1" x14ac:dyDescent="0.3">
      <c r="A149" s="38" t="s">
        <v>5</v>
      </c>
      <c r="B149" s="6" t="s">
        <v>105</v>
      </c>
      <c r="C149" s="27" t="s">
        <v>26</v>
      </c>
      <c r="D149" s="26" t="s">
        <v>556</v>
      </c>
      <c r="E149" s="27" t="s">
        <v>610</v>
      </c>
      <c r="F149" s="31" t="s">
        <v>609</v>
      </c>
      <c r="G149" s="5" t="s">
        <v>423</v>
      </c>
      <c r="H149" s="26">
        <v>2</v>
      </c>
      <c r="I149" s="39"/>
      <c r="J149" s="29"/>
      <c r="K149" s="38"/>
      <c r="L149" s="29"/>
      <c r="M149" s="38"/>
      <c r="N149" s="28">
        <v>2</v>
      </c>
    </row>
    <row r="150" spans="1:20" ht="10.5" hidden="1" customHeight="1" x14ac:dyDescent="0.3">
      <c r="A150" s="38" t="s">
        <v>5</v>
      </c>
      <c r="B150" s="26" t="s">
        <v>105</v>
      </c>
      <c r="C150" s="27" t="s">
        <v>26</v>
      </c>
      <c r="D150" s="26" t="s">
        <v>556</v>
      </c>
      <c r="E150" s="27" t="s">
        <v>393</v>
      </c>
      <c r="G150" s="5" t="s">
        <v>562</v>
      </c>
      <c r="H150" s="26">
        <v>3</v>
      </c>
      <c r="I150" s="39"/>
      <c r="J150" s="29"/>
      <c r="K150" s="38"/>
      <c r="L150" s="29"/>
      <c r="M150" s="38"/>
      <c r="S150" s="28">
        <v>3</v>
      </c>
    </row>
    <row r="151" spans="1:20" ht="10.5" hidden="1" customHeight="1" x14ac:dyDescent="0.3">
      <c r="A151" s="38" t="s">
        <v>5</v>
      </c>
      <c r="B151" s="26" t="s">
        <v>105</v>
      </c>
      <c r="C151" s="27" t="s">
        <v>26</v>
      </c>
      <c r="D151" s="26" t="s">
        <v>556</v>
      </c>
      <c r="E151" s="27" t="s">
        <v>394</v>
      </c>
      <c r="G151" s="5" t="s">
        <v>563</v>
      </c>
      <c r="H151" s="26">
        <v>3</v>
      </c>
      <c r="I151" s="39"/>
      <c r="J151" s="29"/>
      <c r="K151" s="38"/>
      <c r="L151" s="29"/>
      <c r="M151" s="38"/>
      <c r="S151" s="28">
        <v>3</v>
      </c>
    </row>
    <row r="152" spans="1:20" ht="10.5" hidden="1" customHeight="1" x14ac:dyDescent="0.3">
      <c r="A152" s="38" t="s">
        <v>5</v>
      </c>
      <c r="B152" s="26" t="s">
        <v>105</v>
      </c>
      <c r="C152" s="27" t="s">
        <v>26</v>
      </c>
      <c r="D152" s="26" t="s">
        <v>556</v>
      </c>
      <c r="E152" s="27" t="s">
        <v>395</v>
      </c>
      <c r="G152" s="5" t="s">
        <v>564</v>
      </c>
      <c r="H152" s="26">
        <v>3</v>
      </c>
      <c r="I152" s="39"/>
      <c r="J152" s="29"/>
      <c r="K152" s="38"/>
      <c r="L152" s="29"/>
      <c r="M152" s="38"/>
      <c r="S152" s="28">
        <v>3</v>
      </c>
    </row>
    <row r="153" spans="1:20" ht="10.5" hidden="1" customHeight="1" x14ac:dyDescent="0.3">
      <c r="A153" s="38" t="s">
        <v>5</v>
      </c>
      <c r="B153" s="26" t="s">
        <v>105</v>
      </c>
      <c r="C153" s="27" t="s">
        <v>26</v>
      </c>
      <c r="D153" s="26" t="s">
        <v>556</v>
      </c>
      <c r="E153" s="27" t="s">
        <v>378</v>
      </c>
      <c r="G153" s="5" t="s">
        <v>104</v>
      </c>
      <c r="H153" s="26">
        <v>3</v>
      </c>
      <c r="I153" s="39"/>
      <c r="J153" s="29"/>
      <c r="K153" s="38"/>
      <c r="L153" s="29"/>
      <c r="M153" s="38"/>
      <c r="S153" s="28">
        <v>3</v>
      </c>
    </row>
    <row r="154" spans="1:20" ht="10.5" hidden="1" customHeight="1" x14ac:dyDescent="0.3">
      <c r="A154" s="38" t="s">
        <v>5</v>
      </c>
      <c r="B154" s="26" t="s">
        <v>105</v>
      </c>
      <c r="C154" s="27" t="s">
        <v>26</v>
      </c>
      <c r="D154" s="26" t="s">
        <v>556</v>
      </c>
      <c r="E154" s="27" t="s">
        <v>379</v>
      </c>
      <c r="G154" s="5" t="s">
        <v>106</v>
      </c>
      <c r="H154" s="26">
        <v>3</v>
      </c>
      <c r="I154" s="39"/>
      <c r="J154" s="29"/>
      <c r="K154" s="38"/>
      <c r="L154" s="29"/>
      <c r="M154" s="38"/>
      <c r="S154" s="28">
        <v>3</v>
      </c>
    </row>
    <row r="155" spans="1:20" ht="10.5" hidden="1" customHeight="1" x14ac:dyDescent="0.3">
      <c r="A155" s="38" t="s">
        <v>5</v>
      </c>
      <c r="B155" s="26" t="s">
        <v>105</v>
      </c>
      <c r="C155" s="27" t="s">
        <v>26</v>
      </c>
      <c r="D155" s="26" t="s">
        <v>556</v>
      </c>
      <c r="E155" s="27" t="s">
        <v>380</v>
      </c>
      <c r="G155" s="5" t="s">
        <v>107</v>
      </c>
      <c r="H155" s="26">
        <v>3</v>
      </c>
      <c r="I155" s="39"/>
      <c r="J155" s="29"/>
      <c r="K155" s="38"/>
      <c r="L155" s="29"/>
      <c r="M155" s="38"/>
      <c r="T155" s="28">
        <v>3</v>
      </c>
    </row>
    <row r="156" spans="1:20" ht="10.5" hidden="1" customHeight="1" x14ac:dyDescent="0.3">
      <c r="A156" s="38" t="s">
        <v>5</v>
      </c>
      <c r="B156" s="26" t="s">
        <v>105</v>
      </c>
      <c r="C156" s="27" t="s">
        <v>26</v>
      </c>
      <c r="D156" s="26" t="s">
        <v>556</v>
      </c>
      <c r="E156" s="27" t="s">
        <v>381</v>
      </c>
      <c r="G156" s="5" t="s">
        <v>108</v>
      </c>
      <c r="H156" s="26">
        <v>3</v>
      </c>
      <c r="I156" s="39"/>
      <c r="J156" s="29"/>
      <c r="K156" s="38"/>
      <c r="L156" s="29"/>
      <c r="M156" s="38"/>
      <c r="T156" s="28">
        <v>3</v>
      </c>
    </row>
    <row r="157" spans="1:20" ht="10.5" hidden="1" customHeight="1" x14ac:dyDescent="0.3">
      <c r="A157" s="38" t="s">
        <v>5</v>
      </c>
      <c r="B157" s="26" t="s">
        <v>105</v>
      </c>
      <c r="C157" s="27" t="s">
        <v>26</v>
      </c>
      <c r="D157" s="26" t="s">
        <v>556</v>
      </c>
      <c r="E157" s="27" t="s">
        <v>382</v>
      </c>
      <c r="G157" s="5" t="s">
        <v>109</v>
      </c>
      <c r="H157" s="26">
        <v>3</v>
      </c>
      <c r="I157" s="39"/>
      <c r="J157" s="29"/>
      <c r="K157" s="38"/>
      <c r="L157" s="29"/>
      <c r="M157" s="38"/>
      <c r="T157" s="28">
        <v>3</v>
      </c>
    </row>
    <row r="158" spans="1:20" ht="10.5" customHeight="1" x14ac:dyDescent="0.3">
      <c r="A158" s="38" t="s">
        <v>5</v>
      </c>
      <c r="B158" s="6" t="s">
        <v>558</v>
      </c>
      <c r="C158" s="10" t="s">
        <v>482</v>
      </c>
      <c r="D158" s="6" t="s">
        <v>557</v>
      </c>
      <c r="E158" s="9" t="s">
        <v>483</v>
      </c>
      <c r="F158" s="9" t="s">
        <v>484</v>
      </c>
      <c r="G158" s="9" t="s">
        <v>438</v>
      </c>
      <c r="H158" s="1">
        <v>1</v>
      </c>
      <c r="I158" s="39">
        <v>1</v>
      </c>
      <c r="J158" s="29">
        <v>1</v>
      </c>
      <c r="K158" s="38">
        <v>1</v>
      </c>
      <c r="L158" s="29">
        <v>1</v>
      </c>
      <c r="M158" s="38">
        <v>1</v>
      </c>
    </row>
    <row r="159" spans="1:20" ht="10.5" customHeight="1" x14ac:dyDescent="0.3">
      <c r="A159" s="38" t="s">
        <v>5</v>
      </c>
      <c r="B159" s="6" t="s">
        <v>558</v>
      </c>
      <c r="C159" s="10" t="s">
        <v>406</v>
      </c>
      <c r="D159" s="6" t="s">
        <v>557</v>
      </c>
      <c r="E159" s="9" t="s">
        <v>485</v>
      </c>
      <c r="F159" s="9" t="s">
        <v>486</v>
      </c>
      <c r="G159" s="9" t="s">
        <v>441</v>
      </c>
      <c r="H159" s="1">
        <v>1</v>
      </c>
      <c r="I159" s="39">
        <v>1</v>
      </c>
      <c r="J159" s="29">
        <v>1</v>
      </c>
      <c r="K159" s="38">
        <v>1</v>
      </c>
      <c r="L159" s="29">
        <v>1</v>
      </c>
      <c r="M159" s="38">
        <v>1</v>
      </c>
    </row>
    <row r="160" spans="1:20" ht="10.5" customHeight="1" x14ac:dyDescent="0.3">
      <c r="A160" s="38" t="s">
        <v>5</v>
      </c>
      <c r="B160" s="6" t="s">
        <v>558</v>
      </c>
      <c r="C160" s="10" t="s">
        <v>406</v>
      </c>
      <c r="D160" s="6" t="s">
        <v>557</v>
      </c>
      <c r="E160" s="9" t="s">
        <v>487</v>
      </c>
      <c r="F160" s="9" t="s">
        <v>488</v>
      </c>
      <c r="G160" s="9" t="s">
        <v>442</v>
      </c>
      <c r="H160" s="1">
        <v>1</v>
      </c>
      <c r="I160" s="39">
        <v>1</v>
      </c>
      <c r="J160" s="29">
        <v>1</v>
      </c>
      <c r="K160" s="38">
        <v>1</v>
      </c>
      <c r="L160" s="29">
        <v>1</v>
      </c>
      <c r="M160" s="38">
        <v>1</v>
      </c>
    </row>
    <row r="161" spans="1:20" ht="10.5" hidden="1" customHeight="1" x14ac:dyDescent="0.3">
      <c r="A161" s="38" t="s">
        <v>5</v>
      </c>
      <c r="B161" s="26" t="s">
        <v>105</v>
      </c>
      <c r="C161" s="27" t="s">
        <v>129</v>
      </c>
      <c r="D161" s="26" t="s">
        <v>556</v>
      </c>
      <c r="E161" s="27" t="s">
        <v>132</v>
      </c>
      <c r="G161" s="5" t="s">
        <v>131</v>
      </c>
      <c r="H161" s="26">
        <v>3</v>
      </c>
      <c r="I161" s="39"/>
      <c r="J161" s="29"/>
      <c r="K161" s="38"/>
      <c r="L161" s="29"/>
      <c r="M161" s="38"/>
      <c r="T161" s="28">
        <v>3</v>
      </c>
    </row>
    <row r="162" spans="1:20" ht="10.5" hidden="1" customHeight="1" x14ac:dyDescent="0.3">
      <c r="A162" s="38" t="s">
        <v>5</v>
      </c>
      <c r="B162" s="26" t="s">
        <v>105</v>
      </c>
      <c r="C162" s="27" t="s">
        <v>129</v>
      </c>
      <c r="D162" s="26" t="s">
        <v>556</v>
      </c>
      <c r="E162" s="27" t="s">
        <v>130</v>
      </c>
      <c r="G162" s="5" t="s">
        <v>133</v>
      </c>
      <c r="H162" s="26">
        <v>3</v>
      </c>
      <c r="I162" s="39"/>
      <c r="J162" s="29"/>
      <c r="K162" s="38"/>
      <c r="L162" s="29"/>
      <c r="M162" s="38"/>
      <c r="T162" s="28">
        <v>3</v>
      </c>
    </row>
    <row r="163" spans="1:20" ht="10.5" hidden="1" customHeight="1" x14ac:dyDescent="0.3">
      <c r="A163" s="38" t="s">
        <v>5</v>
      </c>
      <c r="B163" s="26" t="s">
        <v>105</v>
      </c>
      <c r="C163" s="27" t="s">
        <v>129</v>
      </c>
      <c r="D163" s="26" t="s">
        <v>556</v>
      </c>
      <c r="E163" s="27" t="s">
        <v>130</v>
      </c>
      <c r="G163" s="5" t="s">
        <v>664</v>
      </c>
      <c r="H163" s="26">
        <v>3</v>
      </c>
      <c r="I163" s="39"/>
      <c r="J163" s="29"/>
      <c r="K163" s="38"/>
      <c r="L163" s="29"/>
      <c r="M163" s="38"/>
      <c r="T163" s="28">
        <v>3</v>
      </c>
    </row>
    <row r="164" spans="1:20" ht="10.5" customHeight="1" x14ac:dyDescent="0.3">
      <c r="A164" s="38" t="s">
        <v>5</v>
      </c>
      <c r="B164" s="15" t="s">
        <v>105</v>
      </c>
      <c r="C164" s="7" t="s">
        <v>396</v>
      </c>
      <c r="D164" s="26" t="s">
        <v>556</v>
      </c>
      <c r="E164" s="7" t="s">
        <v>478</v>
      </c>
      <c r="F164" s="7" t="s">
        <v>479</v>
      </c>
      <c r="G164" s="5" t="s">
        <v>435</v>
      </c>
      <c r="H164" s="1">
        <v>1</v>
      </c>
      <c r="I164" s="39">
        <v>1</v>
      </c>
      <c r="J164" s="29">
        <v>1</v>
      </c>
      <c r="K164" s="38">
        <v>1</v>
      </c>
      <c r="L164" s="29">
        <v>1</v>
      </c>
      <c r="M164" s="38">
        <v>1</v>
      </c>
    </row>
    <row r="165" spans="1:20" ht="10.5" hidden="1" customHeight="1" x14ac:dyDescent="0.3">
      <c r="A165" s="38" t="s">
        <v>5</v>
      </c>
      <c r="B165" s="15" t="s">
        <v>105</v>
      </c>
      <c r="C165" s="7" t="s">
        <v>396</v>
      </c>
      <c r="D165" s="26" t="s">
        <v>556</v>
      </c>
      <c r="E165" s="7" t="s">
        <v>397</v>
      </c>
      <c r="G165" s="5" t="s">
        <v>436</v>
      </c>
      <c r="H165" s="26">
        <v>3</v>
      </c>
      <c r="I165" s="39"/>
      <c r="J165" s="29"/>
      <c r="K165" s="38"/>
      <c r="L165" s="29"/>
      <c r="M165" s="38"/>
      <c r="T165" s="28">
        <v>3</v>
      </c>
    </row>
    <row r="166" spans="1:20" ht="10.5" hidden="1" customHeight="1" x14ac:dyDescent="0.3">
      <c r="A166" s="38" t="s">
        <v>5</v>
      </c>
      <c r="B166" s="26" t="s">
        <v>105</v>
      </c>
      <c r="C166" s="27" t="s">
        <v>140</v>
      </c>
      <c r="D166" s="26" t="s">
        <v>556</v>
      </c>
      <c r="E166" s="27" t="s">
        <v>141</v>
      </c>
      <c r="G166" s="5" t="s">
        <v>139</v>
      </c>
      <c r="H166" s="26">
        <v>3</v>
      </c>
      <c r="I166" s="39"/>
      <c r="J166" s="29"/>
      <c r="K166" s="38"/>
      <c r="L166" s="29"/>
      <c r="M166" s="38"/>
      <c r="T166" s="28">
        <v>3</v>
      </c>
    </row>
    <row r="167" spans="1:20" ht="10.5" hidden="1" customHeight="1" x14ac:dyDescent="0.3">
      <c r="A167" s="38" t="s">
        <v>5</v>
      </c>
      <c r="B167" s="26" t="s">
        <v>105</v>
      </c>
      <c r="C167" s="27" t="s">
        <v>140</v>
      </c>
      <c r="D167" s="26" t="s">
        <v>556</v>
      </c>
      <c r="E167" s="27" t="s">
        <v>157</v>
      </c>
      <c r="G167" s="5" t="s">
        <v>156</v>
      </c>
      <c r="H167" s="26">
        <v>3</v>
      </c>
      <c r="I167" s="39"/>
      <c r="J167" s="29"/>
      <c r="K167" s="38"/>
      <c r="L167" s="29"/>
      <c r="M167" s="38"/>
      <c r="T167" s="28">
        <v>3</v>
      </c>
    </row>
    <row r="168" spans="1:20" ht="10.5" customHeight="1" x14ac:dyDescent="0.3">
      <c r="A168" s="38" t="s">
        <v>5</v>
      </c>
      <c r="B168" s="11" t="s">
        <v>105</v>
      </c>
      <c r="C168" s="8" t="s">
        <v>140</v>
      </c>
      <c r="D168" s="26" t="s">
        <v>556</v>
      </c>
      <c r="E168" s="8" t="s">
        <v>480</v>
      </c>
      <c r="F168" s="8" t="s">
        <v>481</v>
      </c>
      <c r="G168" s="8" t="s">
        <v>158</v>
      </c>
      <c r="H168" s="1">
        <v>1</v>
      </c>
      <c r="I168" s="39">
        <v>1</v>
      </c>
      <c r="J168" s="29">
        <v>1</v>
      </c>
      <c r="K168" s="38">
        <v>1</v>
      </c>
      <c r="L168" s="29">
        <v>1</v>
      </c>
      <c r="M168" s="38">
        <v>1</v>
      </c>
    </row>
    <row r="169" spans="1:20" ht="10.5" hidden="1" customHeight="1" x14ac:dyDescent="0.3">
      <c r="A169" s="38" t="s">
        <v>5</v>
      </c>
      <c r="B169" s="26" t="s">
        <v>105</v>
      </c>
      <c r="C169" s="27" t="s">
        <v>140</v>
      </c>
      <c r="D169" s="26" t="s">
        <v>556</v>
      </c>
      <c r="E169" s="27" t="s">
        <v>160</v>
      </c>
      <c r="G169" s="5" t="s">
        <v>159</v>
      </c>
      <c r="H169" s="26">
        <v>3</v>
      </c>
      <c r="I169" s="39"/>
      <c r="J169" s="29"/>
      <c r="K169" s="38"/>
      <c r="L169" s="29"/>
      <c r="M169" s="38"/>
      <c r="T169" s="28">
        <v>3</v>
      </c>
    </row>
    <row r="170" spans="1:20" ht="10.5" hidden="1" customHeight="1" x14ac:dyDescent="0.3">
      <c r="A170" s="38" t="s">
        <v>5</v>
      </c>
      <c r="B170" s="26" t="s">
        <v>105</v>
      </c>
      <c r="C170" s="27" t="s">
        <v>140</v>
      </c>
      <c r="D170" s="26" t="s">
        <v>556</v>
      </c>
      <c r="E170" s="27" t="s">
        <v>160</v>
      </c>
      <c r="G170" s="5" t="s">
        <v>161</v>
      </c>
      <c r="H170" s="26">
        <v>3</v>
      </c>
      <c r="I170" s="39"/>
      <c r="J170" s="29"/>
      <c r="K170" s="38"/>
      <c r="L170" s="29"/>
      <c r="M170" s="38"/>
      <c r="T170" s="28">
        <v>3</v>
      </c>
    </row>
    <row r="171" spans="1:20" ht="10.5" hidden="1" customHeight="1" x14ac:dyDescent="0.3">
      <c r="A171" s="38" t="s">
        <v>5</v>
      </c>
      <c r="B171" s="26" t="s">
        <v>105</v>
      </c>
      <c r="C171" s="27" t="s">
        <v>140</v>
      </c>
      <c r="D171" s="26" t="s">
        <v>556</v>
      </c>
      <c r="E171" s="27" t="s">
        <v>30</v>
      </c>
      <c r="G171" s="5" t="s">
        <v>142</v>
      </c>
      <c r="H171" s="26">
        <v>3</v>
      </c>
      <c r="I171" s="39"/>
      <c r="J171" s="29"/>
      <c r="K171" s="38"/>
      <c r="L171" s="29"/>
      <c r="M171" s="38"/>
      <c r="T171" s="28">
        <v>3</v>
      </c>
    </row>
    <row r="172" spans="1:20" ht="10.5" hidden="1" customHeight="1" x14ac:dyDescent="0.3">
      <c r="A172" s="38" t="s">
        <v>5</v>
      </c>
      <c r="B172" s="26" t="s">
        <v>105</v>
      </c>
      <c r="C172" s="27" t="s">
        <v>140</v>
      </c>
      <c r="D172" s="26" t="s">
        <v>556</v>
      </c>
      <c r="E172" s="27" t="s">
        <v>30</v>
      </c>
      <c r="G172" s="5" t="s">
        <v>143</v>
      </c>
      <c r="H172" s="26">
        <v>3</v>
      </c>
      <c r="I172" s="39"/>
      <c r="J172" s="29"/>
      <c r="K172" s="38"/>
      <c r="L172" s="29"/>
      <c r="M172" s="38"/>
      <c r="T172" s="28">
        <v>3</v>
      </c>
    </row>
    <row r="173" spans="1:20" ht="10.5" hidden="1" customHeight="1" x14ac:dyDescent="0.3">
      <c r="A173" s="38" t="s">
        <v>5</v>
      </c>
      <c r="B173" s="26" t="s">
        <v>105</v>
      </c>
      <c r="C173" s="27" t="s">
        <v>140</v>
      </c>
      <c r="D173" s="26" t="s">
        <v>556</v>
      </c>
      <c r="E173" s="27" t="s">
        <v>145</v>
      </c>
      <c r="G173" s="5" t="s">
        <v>144</v>
      </c>
      <c r="H173" s="26">
        <v>3</v>
      </c>
      <c r="I173" s="39"/>
      <c r="J173" s="29"/>
      <c r="K173" s="38"/>
      <c r="L173" s="29"/>
      <c r="M173" s="38"/>
      <c r="T173" s="28">
        <v>3</v>
      </c>
    </row>
    <row r="174" spans="1:20" ht="10.5" hidden="1" customHeight="1" x14ac:dyDescent="0.3">
      <c r="A174" s="38" t="s">
        <v>5</v>
      </c>
      <c r="B174" s="26" t="s">
        <v>105</v>
      </c>
      <c r="C174" s="27" t="s">
        <v>140</v>
      </c>
      <c r="D174" s="26" t="s">
        <v>556</v>
      </c>
      <c r="E174" s="27" t="s">
        <v>147</v>
      </c>
      <c r="G174" s="5" t="s">
        <v>146</v>
      </c>
      <c r="H174" s="26">
        <v>3</v>
      </c>
      <c r="I174" s="39"/>
      <c r="J174" s="29"/>
      <c r="K174" s="38"/>
      <c r="L174" s="29"/>
      <c r="M174" s="38"/>
      <c r="T174" s="28">
        <v>3</v>
      </c>
    </row>
    <row r="175" spans="1:20" ht="10.5" hidden="1" customHeight="1" x14ac:dyDescent="0.3">
      <c r="A175" s="38" t="s">
        <v>5</v>
      </c>
      <c r="B175" s="26" t="s">
        <v>105</v>
      </c>
      <c r="C175" s="27" t="s">
        <v>140</v>
      </c>
      <c r="D175" s="26" t="s">
        <v>556</v>
      </c>
      <c r="E175" s="27" t="s">
        <v>149</v>
      </c>
      <c r="G175" s="5" t="s">
        <v>148</v>
      </c>
      <c r="H175" s="26">
        <v>3</v>
      </c>
      <c r="I175" s="39"/>
      <c r="J175" s="29"/>
      <c r="K175" s="38"/>
      <c r="L175" s="29"/>
      <c r="M175" s="38"/>
      <c r="T175" s="28">
        <v>3</v>
      </c>
    </row>
    <row r="176" spans="1:20" ht="10.5" hidden="1" customHeight="1" x14ac:dyDescent="0.3">
      <c r="A176" s="38" t="s">
        <v>5</v>
      </c>
      <c r="B176" s="26" t="s">
        <v>105</v>
      </c>
      <c r="C176" s="27" t="s">
        <v>140</v>
      </c>
      <c r="D176" s="26" t="s">
        <v>556</v>
      </c>
      <c r="E176" s="27" t="s">
        <v>151</v>
      </c>
      <c r="G176" s="5" t="s">
        <v>150</v>
      </c>
      <c r="H176" s="26">
        <v>3</v>
      </c>
      <c r="I176" s="39"/>
      <c r="J176" s="29"/>
      <c r="K176" s="38"/>
      <c r="L176" s="29"/>
      <c r="M176" s="38"/>
      <c r="T176" s="28">
        <v>3</v>
      </c>
    </row>
    <row r="177" spans="1:20" ht="10.5" hidden="1" customHeight="1" x14ac:dyDescent="0.3">
      <c r="A177" s="38" t="s">
        <v>5</v>
      </c>
      <c r="B177" s="26" t="s">
        <v>105</v>
      </c>
      <c r="C177" s="27" t="s">
        <v>140</v>
      </c>
      <c r="D177" s="26" t="s">
        <v>556</v>
      </c>
      <c r="E177" s="27" t="s">
        <v>153</v>
      </c>
      <c r="G177" s="5" t="s">
        <v>152</v>
      </c>
      <c r="H177" s="26">
        <v>3</v>
      </c>
      <c r="I177" s="39"/>
      <c r="J177" s="29"/>
      <c r="K177" s="38"/>
      <c r="L177" s="29"/>
      <c r="M177" s="38"/>
      <c r="T177" s="28">
        <v>3</v>
      </c>
    </row>
    <row r="178" spans="1:20" ht="10.5" hidden="1" customHeight="1" x14ac:dyDescent="0.3">
      <c r="A178" s="38" t="s">
        <v>5</v>
      </c>
      <c r="B178" s="26" t="s">
        <v>105</v>
      </c>
      <c r="C178" s="27" t="s">
        <v>140</v>
      </c>
      <c r="D178" s="26" t="s">
        <v>556</v>
      </c>
      <c r="E178" s="27" t="s">
        <v>155</v>
      </c>
      <c r="G178" s="5" t="s">
        <v>154</v>
      </c>
      <c r="H178" s="26">
        <v>3</v>
      </c>
      <c r="I178" s="39"/>
      <c r="J178" s="29"/>
      <c r="K178" s="38"/>
      <c r="L178" s="29"/>
      <c r="M178" s="38"/>
      <c r="T178" s="28">
        <v>3</v>
      </c>
    </row>
    <row r="179" spans="1:20" ht="10.5" customHeight="1" x14ac:dyDescent="0.3">
      <c r="A179" s="38" t="s">
        <v>5</v>
      </c>
      <c r="B179" s="6" t="s">
        <v>76</v>
      </c>
      <c r="C179" s="8" t="s">
        <v>404</v>
      </c>
      <c r="D179" s="11" t="s">
        <v>555</v>
      </c>
      <c r="E179" s="8" t="s">
        <v>489</v>
      </c>
      <c r="F179" s="8" t="s">
        <v>490</v>
      </c>
      <c r="G179" s="3" t="s">
        <v>191</v>
      </c>
      <c r="H179" s="1">
        <v>1</v>
      </c>
      <c r="I179" s="39"/>
      <c r="J179" s="29">
        <v>1</v>
      </c>
      <c r="K179" s="38">
        <v>1</v>
      </c>
      <c r="L179" s="29">
        <v>1</v>
      </c>
      <c r="M179" s="38">
        <v>1</v>
      </c>
    </row>
    <row r="180" spans="1:20" ht="10.5" hidden="1" customHeight="1" x14ac:dyDescent="0.3">
      <c r="A180" s="38" t="s">
        <v>5</v>
      </c>
      <c r="B180" s="11" t="s">
        <v>76</v>
      </c>
      <c r="C180" s="8" t="s">
        <v>404</v>
      </c>
      <c r="D180" s="11" t="s">
        <v>555</v>
      </c>
      <c r="E180" s="7" t="s">
        <v>713</v>
      </c>
      <c r="F180" s="31" t="s">
        <v>714</v>
      </c>
      <c r="G180" s="32" t="s">
        <v>175</v>
      </c>
      <c r="H180" s="6">
        <v>2</v>
      </c>
      <c r="I180" s="39"/>
      <c r="J180" s="29"/>
      <c r="K180" s="38"/>
      <c r="L180" s="29"/>
      <c r="M180" s="38"/>
    </row>
    <row r="181" spans="1:20" ht="10.5" hidden="1" customHeight="1" x14ac:dyDescent="0.3">
      <c r="A181" s="38" t="s">
        <v>5</v>
      </c>
      <c r="B181" s="11" t="s">
        <v>76</v>
      </c>
      <c r="C181" s="8" t="s">
        <v>404</v>
      </c>
      <c r="D181" s="11" t="s">
        <v>555</v>
      </c>
      <c r="E181" s="7" t="s">
        <v>726</v>
      </c>
      <c r="F181" s="31" t="s">
        <v>725</v>
      </c>
      <c r="G181" s="32" t="s">
        <v>176</v>
      </c>
      <c r="H181" s="6">
        <v>2</v>
      </c>
      <c r="I181" s="39"/>
      <c r="J181" s="29"/>
      <c r="K181" s="38"/>
      <c r="L181" s="29"/>
      <c r="M181" s="38"/>
    </row>
    <row r="182" spans="1:20" ht="10.5" hidden="1" customHeight="1" x14ac:dyDescent="0.3">
      <c r="A182" s="42" t="s">
        <v>5</v>
      </c>
      <c r="B182" s="43" t="s">
        <v>682</v>
      </c>
      <c r="C182" s="44" t="s">
        <v>682</v>
      </c>
      <c r="D182" s="45" t="s">
        <v>557</v>
      </c>
      <c r="E182" s="46" t="s">
        <v>680</v>
      </c>
      <c r="F182" s="44"/>
      <c r="G182" s="44"/>
      <c r="H182" s="43"/>
      <c r="I182" s="47"/>
      <c r="J182" s="48"/>
      <c r="K182" s="41"/>
      <c r="L182" s="48"/>
      <c r="M182" s="41">
        <v>3</v>
      </c>
    </row>
    <row r="183" spans="1:20" ht="10.5" hidden="1" customHeight="1" x14ac:dyDescent="0.3">
      <c r="A183" s="42" t="s">
        <v>5</v>
      </c>
      <c r="B183" s="43" t="s">
        <v>682</v>
      </c>
      <c r="C183" s="44" t="s">
        <v>682</v>
      </c>
      <c r="D183" s="45" t="s">
        <v>557</v>
      </c>
      <c r="E183" s="46" t="s">
        <v>680</v>
      </c>
      <c r="F183" s="44"/>
      <c r="G183" s="44"/>
      <c r="H183" s="43"/>
      <c r="I183" s="47"/>
      <c r="J183" s="48"/>
      <c r="K183" s="41"/>
      <c r="L183" s="48"/>
      <c r="M183" s="41">
        <v>3</v>
      </c>
    </row>
    <row r="184" spans="1:20" ht="10.5" hidden="1" customHeight="1" x14ac:dyDescent="0.3">
      <c r="A184" s="42" t="s">
        <v>5</v>
      </c>
      <c r="B184" s="43" t="s">
        <v>682</v>
      </c>
      <c r="C184" s="44" t="s">
        <v>682</v>
      </c>
      <c r="D184" s="45" t="s">
        <v>557</v>
      </c>
      <c r="E184" s="46" t="s">
        <v>680</v>
      </c>
      <c r="F184" s="44"/>
      <c r="G184" s="44"/>
      <c r="H184" s="43"/>
      <c r="I184" s="47"/>
      <c r="J184" s="48"/>
      <c r="K184" s="41"/>
      <c r="L184" s="48"/>
      <c r="M184" s="41">
        <v>3</v>
      </c>
    </row>
    <row r="185" spans="1:20" ht="10.5" hidden="1" customHeight="1" x14ac:dyDescent="0.3">
      <c r="A185" s="42" t="s">
        <v>5</v>
      </c>
      <c r="B185" s="43" t="s">
        <v>682</v>
      </c>
      <c r="C185" s="44" t="s">
        <v>682</v>
      </c>
      <c r="D185" s="45" t="s">
        <v>557</v>
      </c>
      <c r="E185" s="46" t="s">
        <v>680</v>
      </c>
      <c r="F185" s="44"/>
      <c r="G185" s="44"/>
      <c r="H185" s="43"/>
      <c r="I185" s="47"/>
      <c r="J185" s="48"/>
      <c r="K185" s="41"/>
      <c r="L185" s="48"/>
      <c r="M185" s="41">
        <v>3</v>
      </c>
    </row>
    <row r="186" spans="1:20" ht="10.5" hidden="1" customHeight="1" x14ac:dyDescent="0.3">
      <c r="A186" s="42" t="s">
        <v>5</v>
      </c>
      <c r="B186" s="43" t="s">
        <v>682</v>
      </c>
      <c r="C186" s="44" t="s">
        <v>682</v>
      </c>
      <c r="D186" s="45" t="s">
        <v>557</v>
      </c>
      <c r="E186" s="46" t="s">
        <v>680</v>
      </c>
      <c r="F186" s="44"/>
      <c r="G186" s="44"/>
      <c r="H186" s="43"/>
      <c r="I186" s="47"/>
      <c r="J186" s="48"/>
      <c r="K186" s="41"/>
      <c r="L186" s="48"/>
      <c r="M186" s="41">
        <v>3</v>
      </c>
    </row>
    <row r="187" spans="1:20" ht="10.5" hidden="1" customHeight="1" x14ac:dyDescent="0.3">
      <c r="A187" s="42" t="s">
        <v>5</v>
      </c>
      <c r="B187" s="43" t="s">
        <v>682</v>
      </c>
      <c r="C187" s="44" t="s">
        <v>682</v>
      </c>
      <c r="D187" s="45" t="s">
        <v>557</v>
      </c>
      <c r="E187" s="46" t="s">
        <v>681</v>
      </c>
      <c r="F187" s="44"/>
      <c r="G187" s="44"/>
      <c r="H187" s="43"/>
      <c r="I187" s="47"/>
      <c r="J187" s="48"/>
      <c r="K187" s="41"/>
      <c r="L187" s="48"/>
      <c r="M187" s="41">
        <v>3</v>
      </c>
    </row>
  </sheetData>
  <autoFilter ref="A1:T187" xr:uid="{00000000-0009-0000-0000-00000B000000}">
    <filterColumn colId="7">
      <filters>
        <filter val="1"/>
      </filters>
    </filterColumn>
  </autoFilter>
  <pageMargins left="0.70866141732283472" right="0.70866141732283472" top="0.74803149606299213" bottom="0.74803149606299213" header="0.31496062992125984" footer="0.31496062992125984"/>
  <pageSetup scale="59" orientation="landscape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3:E114"/>
  <sheetViews>
    <sheetView workbookViewId="0">
      <selection activeCell="I32" sqref="I32"/>
    </sheetView>
  </sheetViews>
  <sheetFormatPr baseColWidth="10" defaultRowHeight="14.5" x14ac:dyDescent="0.35"/>
  <cols>
    <col min="1" max="1" width="25.54296875" bestFit="1" customWidth="1"/>
    <col min="2" max="2" width="32.453125" bestFit="1" customWidth="1"/>
    <col min="3" max="3" width="32.453125" customWidth="1"/>
    <col min="4" max="4" width="12.7265625" customWidth="1"/>
    <col min="5" max="5" width="17.26953125" customWidth="1"/>
  </cols>
  <sheetData>
    <row r="3" spans="1:5" x14ac:dyDescent="0.35">
      <c r="A3" s="81" t="s">
        <v>4</v>
      </c>
      <c r="B3" s="81" t="s">
        <v>545</v>
      </c>
      <c r="C3" s="81"/>
      <c r="D3" s="82" t="s">
        <v>0</v>
      </c>
      <c r="E3" s="82" t="s">
        <v>910</v>
      </c>
    </row>
    <row r="4" spans="1:5" x14ac:dyDescent="0.35">
      <c r="A4" s="83" t="s">
        <v>684</v>
      </c>
      <c r="B4" s="84" t="s">
        <v>911</v>
      </c>
      <c r="C4" s="84"/>
      <c r="D4" s="85" t="s">
        <v>25</v>
      </c>
      <c r="E4" s="86" t="s">
        <v>25</v>
      </c>
    </row>
    <row r="5" spans="1:5" x14ac:dyDescent="0.35">
      <c r="A5" s="84" t="s">
        <v>351</v>
      </c>
      <c r="B5" s="84" t="s">
        <v>351</v>
      </c>
      <c r="C5" s="84"/>
      <c r="D5" s="85" t="s">
        <v>27</v>
      </c>
      <c r="E5" s="86" t="s">
        <v>27</v>
      </c>
    </row>
    <row r="6" spans="1:5" x14ac:dyDescent="0.35">
      <c r="A6" s="84" t="s">
        <v>568</v>
      </c>
      <c r="B6" s="83" t="s">
        <v>917</v>
      </c>
      <c r="C6" s="83"/>
      <c r="D6" s="85" t="s">
        <v>28</v>
      </c>
      <c r="E6" s="86" t="s">
        <v>28</v>
      </c>
    </row>
    <row r="7" spans="1:5" x14ac:dyDescent="0.35">
      <c r="A7" s="84" t="s">
        <v>746</v>
      </c>
      <c r="B7" s="84" t="s">
        <v>352</v>
      </c>
      <c r="C7" s="84"/>
      <c r="D7" s="85" t="s">
        <v>29</v>
      </c>
      <c r="E7" s="86" t="s">
        <v>29</v>
      </c>
    </row>
    <row r="8" spans="1:5" x14ac:dyDescent="0.35">
      <c r="A8" s="84" t="s">
        <v>748</v>
      </c>
      <c r="B8" s="84" t="s">
        <v>353</v>
      </c>
      <c r="C8" s="84"/>
      <c r="D8" s="85" t="s">
        <v>31</v>
      </c>
      <c r="E8" s="86" t="s">
        <v>31</v>
      </c>
    </row>
    <row r="9" spans="1:5" x14ac:dyDescent="0.35">
      <c r="A9" s="84" t="s">
        <v>811</v>
      </c>
      <c r="B9" s="84" t="s">
        <v>354</v>
      </c>
      <c r="C9" s="84"/>
      <c r="D9" s="85" t="s">
        <v>32</v>
      </c>
      <c r="E9" s="86" t="s">
        <v>32</v>
      </c>
    </row>
    <row r="10" spans="1:5" x14ac:dyDescent="0.35">
      <c r="A10" s="84" t="s">
        <v>813</v>
      </c>
      <c r="B10" s="84" t="s">
        <v>356</v>
      </c>
      <c r="C10" s="84"/>
      <c r="D10" s="85" t="s">
        <v>34</v>
      </c>
      <c r="E10" s="86" t="s">
        <v>33</v>
      </c>
    </row>
    <row r="11" spans="1:5" x14ac:dyDescent="0.35">
      <c r="A11" s="84" t="s">
        <v>665</v>
      </c>
      <c r="B11" s="83" t="s">
        <v>666</v>
      </c>
      <c r="C11" s="83"/>
      <c r="D11" s="85" t="s">
        <v>42</v>
      </c>
      <c r="E11" s="86" t="s">
        <v>34</v>
      </c>
    </row>
    <row r="12" spans="1:5" x14ac:dyDescent="0.35">
      <c r="A12" s="83" t="s">
        <v>687</v>
      </c>
      <c r="B12" s="84" t="s">
        <v>358</v>
      </c>
      <c r="C12" s="84"/>
      <c r="D12" s="85" t="s">
        <v>37</v>
      </c>
      <c r="E12" s="86" t="s">
        <v>35</v>
      </c>
    </row>
    <row r="13" spans="1:5" x14ac:dyDescent="0.35">
      <c r="A13" s="84" t="s">
        <v>812</v>
      </c>
      <c r="B13" s="84" t="s">
        <v>355</v>
      </c>
      <c r="C13" s="84"/>
      <c r="D13" s="85" t="s">
        <v>33</v>
      </c>
      <c r="E13" s="86" t="s">
        <v>36</v>
      </c>
    </row>
    <row r="14" spans="1:5" x14ac:dyDescent="0.35">
      <c r="A14" s="83" t="s">
        <v>665</v>
      </c>
      <c r="B14" s="84" t="s">
        <v>912</v>
      </c>
      <c r="C14" s="84"/>
      <c r="D14" s="85" t="s">
        <v>36</v>
      </c>
      <c r="E14" s="86" t="s">
        <v>37</v>
      </c>
    </row>
    <row r="15" spans="1:5" x14ac:dyDescent="0.35">
      <c r="A15" s="83" t="s">
        <v>686</v>
      </c>
      <c r="B15" s="84" t="s">
        <v>913</v>
      </c>
      <c r="C15" s="84"/>
      <c r="D15" s="87" t="s">
        <v>39</v>
      </c>
      <c r="E15" s="86" t="s">
        <v>38</v>
      </c>
    </row>
    <row r="16" spans="1:5" x14ac:dyDescent="0.35">
      <c r="A16" s="84" t="s">
        <v>764</v>
      </c>
      <c r="B16" s="83" t="s">
        <v>765</v>
      </c>
      <c r="C16" s="83"/>
      <c r="D16" s="85" t="s">
        <v>38</v>
      </c>
      <c r="E16" s="86" t="s">
        <v>39</v>
      </c>
    </row>
    <row r="17" spans="1:5" x14ac:dyDescent="0.35">
      <c r="A17" s="84" t="s">
        <v>686</v>
      </c>
      <c r="B17" s="84" t="s">
        <v>359</v>
      </c>
      <c r="C17" s="84"/>
      <c r="D17" s="85" t="s">
        <v>41</v>
      </c>
      <c r="E17" s="86" t="s">
        <v>41</v>
      </c>
    </row>
    <row r="18" spans="1:5" x14ac:dyDescent="0.35">
      <c r="A18" s="84" t="s">
        <v>567</v>
      </c>
      <c r="B18" s="83" t="s">
        <v>915</v>
      </c>
      <c r="C18" s="83"/>
      <c r="D18" s="85" t="s">
        <v>418</v>
      </c>
      <c r="E18" s="86" t="s">
        <v>42</v>
      </c>
    </row>
    <row r="19" spans="1:5" x14ac:dyDescent="0.35">
      <c r="A19" s="84" t="s">
        <v>567</v>
      </c>
      <c r="B19" s="84" t="s">
        <v>916</v>
      </c>
      <c r="C19" s="84"/>
      <c r="D19" s="85" t="s">
        <v>419</v>
      </c>
      <c r="E19" s="86" t="s">
        <v>43</v>
      </c>
    </row>
    <row r="20" spans="1:5" x14ac:dyDescent="0.35">
      <c r="A20" s="84" t="s">
        <v>571</v>
      </c>
      <c r="B20" s="83" t="s">
        <v>918</v>
      </c>
      <c r="C20" s="83"/>
      <c r="D20" s="85" t="s">
        <v>421</v>
      </c>
      <c r="E20" s="86" t="s">
        <v>44</v>
      </c>
    </row>
    <row r="21" spans="1:5" x14ac:dyDescent="0.35">
      <c r="A21" s="84" t="s">
        <v>567</v>
      </c>
      <c r="B21" s="83" t="s">
        <v>572</v>
      </c>
      <c r="C21" s="83"/>
      <c r="D21" s="85" t="s">
        <v>420</v>
      </c>
      <c r="E21" s="86" t="s">
        <v>45</v>
      </c>
    </row>
    <row r="22" spans="1:5" x14ac:dyDescent="0.35">
      <c r="A22" s="84" t="s">
        <v>814</v>
      </c>
      <c r="B22" s="84" t="s">
        <v>357</v>
      </c>
      <c r="C22" s="84"/>
      <c r="D22" s="85" t="s">
        <v>35</v>
      </c>
      <c r="E22" s="86" t="s">
        <v>46</v>
      </c>
    </row>
    <row r="23" spans="1:5" x14ac:dyDescent="0.35">
      <c r="A23" s="84" t="s">
        <v>360</v>
      </c>
      <c r="B23" s="84" t="s">
        <v>360</v>
      </c>
      <c r="C23" s="84"/>
      <c r="D23" s="85" t="s">
        <v>44</v>
      </c>
      <c r="E23" s="86" t="s">
        <v>47</v>
      </c>
    </row>
    <row r="24" spans="1:5" x14ac:dyDescent="0.35">
      <c r="A24" s="84" t="s">
        <v>742</v>
      </c>
      <c r="B24" s="84" t="s">
        <v>361</v>
      </c>
      <c r="C24" s="84"/>
      <c r="D24" s="85" t="s">
        <v>416</v>
      </c>
      <c r="E24" s="86" t="s">
        <v>416</v>
      </c>
    </row>
    <row r="25" spans="1:5" x14ac:dyDescent="0.35">
      <c r="A25" s="84" t="s">
        <v>740</v>
      </c>
      <c r="B25" s="83" t="s">
        <v>741</v>
      </c>
      <c r="C25" s="83"/>
      <c r="D25" s="85" t="s">
        <v>47</v>
      </c>
      <c r="E25" s="86" t="s">
        <v>417</v>
      </c>
    </row>
    <row r="26" spans="1:5" x14ac:dyDescent="0.35">
      <c r="A26" s="84" t="s">
        <v>810</v>
      </c>
      <c r="B26" s="84" t="s">
        <v>914</v>
      </c>
      <c r="C26" s="84"/>
      <c r="D26" s="85" t="s">
        <v>43</v>
      </c>
      <c r="E26" s="86" t="s">
        <v>418</v>
      </c>
    </row>
    <row r="27" spans="1:5" x14ac:dyDescent="0.35">
      <c r="A27" s="84" t="s">
        <v>745</v>
      </c>
      <c r="B27" s="84" t="s">
        <v>362</v>
      </c>
      <c r="C27" s="84"/>
      <c r="D27" s="85" t="s">
        <v>417</v>
      </c>
      <c r="E27" s="86" t="s">
        <v>419</v>
      </c>
    </row>
    <row r="28" spans="1:5" x14ac:dyDescent="0.35">
      <c r="A28" s="84" t="s">
        <v>619</v>
      </c>
      <c r="B28" s="83" t="s">
        <v>620</v>
      </c>
      <c r="C28" s="83"/>
      <c r="D28" s="85" t="s">
        <v>45</v>
      </c>
      <c r="E28" s="86" t="s">
        <v>420</v>
      </c>
    </row>
    <row r="29" spans="1:5" x14ac:dyDescent="0.35">
      <c r="A29" s="84" t="s">
        <v>738</v>
      </c>
      <c r="B29" s="84" t="s">
        <v>40</v>
      </c>
      <c r="C29" s="84"/>
      <c r="D29" s="85" t="s">
        <v>46</v>
      </c>
      <c r="E29" s="86" t="s">
        <v>421</v>
      </c>
    </row>
    <row r="30" spans="1:5" x14ac:dyDescent="0.35">
      <c r="A30" s="84"/>
      <c r="B30" s="83" t="s">
        <v>922</v>
      </c>
      <c r="C30" s="83"/>
      <c r="D30" s="85"/>
      <c r="E30" s="86" t="s">
        <v>920</v>
      </c>
    </row>
    <row r="31" spans="1:5" x14ac:dyDescent="0.35">
      <c r="A31" s="83"/>
      <c r="B31" s="83" t="s">
        <v>919</v>
      </c>
      <c r="C31" s="83"/>
      <c r="D31" s="85"/>
      <c r="E31" s="86" t="s">
        <v>921</v>
      </c>
    </row>
    <row r="34" spans="1:5" x14ac:dyDescent="0.35">
      <c r="A34" s="81" t="s">
        <v>4</v>
      </c>
      <c r="B34" s="81" t="s">
        <v>545</v>
      </c>
      <c r="C34" s="81" t="s">
        <v>926</v>
      </c>
      <c r="D34" s="82" t="s">
        <v>0</v>
      </c>
      <c r="E34" s="82" t="s">
        <v>910</v>
      </c>
    </row>
    <row r="35" spans="1:5" x14ac:dyDescent="0.35">
      <c r="A35" s="88" t="s">
        <v>607</v>
      </c>
      <c r="B35" s="83" t="s">
        <v>925</v>
      </c>
      <c r="C35" s="83" t="s">
        <v>927</v>
      </c>
      <c r="D35" s="85" t="s">
        <v>110</v>
      </c>
      <c r="E35" s="86" t="s">
        <v>110</v>
      </c>
    </row>
    <row r="36" spans="1:5" x14ac:dyDescent="0.35">
      <c r="A36" s="88" t="s">
        <v>623</v>
      </c>
      <c r="B36" s="83" t="s">
        <v>621</v>
      </c>
      <c r="C36" s="83" t="s">
        <v>929</v>
      </c>
      <c r="D36" s="85" t="s">
        <v>111</v>
      </c>
      <c r="E36" s="86" t="s">
        <v>111</v>
      </c>
    </row>
    <row r="37" spans="1:5" x14ac:dyDescent="0.35">
      <c r="A37" s="88" t="s">
        <v>624</v>
      </c>
      <c r="B37" s="83" t="s">
        <v>622</v>
      </c>
      <c r="C37" s="83" t="s">
        <v>930</v>
      </c>
      <c r="D37" s="85" t="s">
        <v>112</v>
      </c>
      <c r="E37" s="86" t="s">
        <v>112</v>
      </c>
    </row>
    <row r="38" spans="1:5" x14ac:dyDescent="0.35">
      <c r="A38" s="88" t="s">
        <v>788</v>
      </c>
      <c r="B38" s="88" t="s">
        <v>383</v>
      </c>
      <c r="C38" s="88" t="s">
        <v>931</v>
      </c>
      <c r="D38" s="85" t="s">
        <v>113</v>
      </c>
      <c r="E38" s="86" t="s">
        <v>113</v>
      </c>
    </row>
    <row r="39" spans="1:5" x14ac:dyDescent="0.35">
      <c r="A39" s="88" t="s">
        <v>885</v>
      </c>
      <c r="B39" s="88" t="s">
        <v>384</v>
      </c>
      <c r="C39" s="88" t="s">
        <v>932</v>
      </c>
      <c r="D39" s="85" t="s">
        <v>114</v>
      </c>
      <c r="E39" s="86" t="s">
        <v>114</v>
      </c>
    </row>
    <row r="40" spans="1:5" x14ac:dyDescent="0.35">
      <c r="A40" s="88" t="s">
        <v>886</v>
      </c>
      <c r="B40" s="88" t="s">
        <v>385</v>
      </c>
      <c r="C40" s="88" t="s">
        <v>933</v>
      </c>
      <c r="D40" s="85" t="s">
        <v>115</v>
      </c>
      <c r="E40" s="86" t="s">
        <v>115</v>
      </c>
    </row>
    <row r="41" spans="1:5" x14ac:dyDescent="0.35">
      <c r="A41" s="88" t="s">
        <v>788</v>
      </c>
      <c r="B41" s="88" t="s">
        <v>592</v>
      </c>
      <c r="C41" s="88" t="s">
        <v>934</v>
      </c>
      <c r="D41" s="85" t="s">
        <v>116</v>
      </c>
      <c r="E41" s="86" t="s">
        <v>116</v>
      </c>
    </row>
    <row r="42" spans="1:5" x14ac:dyDescent="0.35">
      <c r="A42" s="88" t="s">
        <v>565</v>
      </c>
      <c r="B42" s="83" t="s">
        <v>566</v>
      </c>
      <c r="C42" s="83" t="s">
        <v>956</v>
      </c>
      <c r="D42" s="85" t="s">
        <v>117</v>
      </c>
      <c r="E42" s="86" t="s">
        <v>117</v>
      </c>
    </row>
    <row r="43" spans="1:5" x14ac:dyDescent="0.35">
      <c r="A43" s="88" t="s">
        <v>887</v>
      </c>
      <c r="B43" s="88" t="s">
        <v>386</v>
      </c>
      <c r="C43" s="88" t="s">
        <v>935</v>
      </c>
      <c r="D43" s="85" t="s">
        <v>118</v>
      </c>
      <c r="E43" s="86" t="s">
        <v>118</v>
      </c>
    </row>
    <row r="44" spans="1:5" x14ac:dyDescent="0.35">
      <c r="A44" s="88" t="s">
        <v>888</v>
      </c>
      <c r="B44" s="88" t="s">
        <v>30</v>
      </c>
      <c r="C44" s="88" t="s">
        <v>936</v>
      </c>
      <c r="D44" s="85" t="s">
        <v>119</v>
      </c>
      <c r="E44" s="86" t="s">
        <v>119</v>
      </c>
    </row>
    <row r="45" spans="1:5" x14ac:dyDescent="0.35">
      <c r="A45" s="88" t="s">
        <v>888</v>
      </c>
      <c r="B45" s="88" t="s">
        <v>387</v>
      </c>
      <c r="C45" s="88" t="s">
        <v>937</v>
      </c>
      <c r="D45" s="85" t="s">
        <v>120</v>
      </c>
      <c r="E45" s="86" t="s">
        <v>120</v>
      </c>
    </row>
    <row r="46" spans="1:5" x14ac:dyDescent="0.35">
      <c r="A46" s="88" t="s">
        <v>788</v>
      </c>
      <c r="B46" s="88" t="s">
        <v>388</v>
      </c>
      <c r="C46" s="88" t="s">
        <v>938</v>
      </c>
      <c r="D46" s="85" t="s">
        <v>121</v>
      </c>
      <c r="E46" s="86" t="s">
        <v>121</v>
      </c>
    </row>
    <row r="47" spans="1:5" x14ac:dyDescent="0.35">
      <c r="A47" s="88" t="s">
        <v>788</v>
      </c>
      <c r="B47" s="88" t="s">
        <v>389</v>
      </c>
      <c r="C47" s="88" t="s">
        <v>958</v>
      </c>
      <c r="D47" s="85" t="s">
        <v>122</v>
      </c>
      <c r="E47" s="86" t="s">
        <v>127</v>
      </c>
    </row>
    <row r="48" spans="1:5" x14ac:dyDescent="0.35">
      <c r="A48" s="88" t="s">
        <v>786</v>
      </c>
      <c r="B48" s="88" t="s">
        <v>391</v>
      </c>
      <c r="C48" s="88" t="s">
        <v>948</v>
      </c>
      <c r="D48" s="85" t="s">
        <v>560</v>
      </c>
      <c r="E48" s="86" t="s">
        <v>924</v>
      </c>
    </row>
    <row r="49" spans="1:5" x14ac:dyDescent="0.35">
      <c r="A49" s="88" t="s">
        <v>788</v>
      </c>
      <c r="B49" s="88" t="s">
        <v>390</v>
      </c>
      <c r="C49" s="88" t="s">
        <v>942</v>
      </c>
      <c r="D49" s="85" t="s">
        <v>123</v>
      </c>
      <c r="E49" s="86" t="s">
        <v>126</v>
      </c>
    </row>
    <row r="50" spans="1:5" x14ac:dyDescent="0.35">
      <c r="A50" s="88" t="s">
        <v>787</v>
      </c>
      <c r="B50" s="88" t="s">
        <v>392</v>
      </c>
      <c r="C50" s="88" t="s">
        <v>949</v>
      </c>
      <c r="D50" s="85" t="s">
        <v>124</v>
      </c>
      <c r="E50" s="86" t="s">
        <v>104</v>
      </c>
    </row>
    <row r="51" spans="1:5" x14ac:dyDescent="0.35">
      <c r="A51" s="88" t="s">
        <v>715</v>
      </c>
      <c r="B51" s="83" t="s">
        <v>716</v>
      </c>
      <c r="C51" s="83" t="s">
        <v>939</v>
      </c>
      <c r="D51" s="85" t="s">
        <v>125</v>
      </c>
      <c r="E51" s="86" t="s">
        <v>122</v>
      </c>
    </row>
    <row r="52" spans="1:5" x14ac:dyDescent="0.35">
      <c r="A52" s="88" t="s">
        <v>610</v>
      </c>
      <c r="B52" s="83" t="s">
        <v>609</v>
      </c>
      <c r="C52" s="83" t="s">
        <v>928</v>
      </c>
      <c r="D52" s="85" t="s">
        <v>126</v>
      </c>
      <c r="E52" s="86" t="s">
        <v>560</v>
      </c>
    </row>
    <row r="53" spans="1:5" x14ac:dyDescent="0.35">
      <c r="A53" s="88" t="s">
        <v>607</v>
      </c>
      <c r="B53" s="83" t="s">
        <v>608</v>
      </c>
      <c r="C53" s="83" t="s">
        <v>944</v>
      </c>
      <c r="D53" s="85" t="s">
        <v>422</v>
      </c>
      <c r="E53" s="86" t="s">
        <v>923</v>
      </c>
    </row>
    <row r="54" spans="1:5" x14ac:dyDescent="0.35">
      <c r="A54" s="88" t="s">
        <v>610</v>
      </c>
      <c r="B54" s="83" t="s">
        <v>609</v>
      </c>
      <c r="C54" s="83" t="s">
        <v>943</v>
      </c>
      <c r="D54" s="85" t="s">
        <v>423</v>
      </c>
      <c r="E54" s="86" t="s">
        <v>422</v>
      </c>
    </row>
    <row r="55" spans="1:5" x14ac:dyDescent="0.35">
      <c r="A55" s="88" t="s">
        <v>612</v>
      </c>
      <c r="B55" s="83" t="s">
        <v>611</v>
      </c>
      <c r="C55" s="83" t="s">
        <v>945</v>
      </c>
      <c r="D55" s="85" t="s">
        <v>561</v>
      </c>
      <c r="E55" s="86" t="s">
        <v>946</v>
      </c>
    </row>
    <row r="56" spans="1:5" x14ac:dyDescent="0.35">
      <c r="A56" s="88" t="s">
        <v>788</v>
      </c>
      <c r="B56" s="88" t="s">
        <v>393</v>
      </c>
      <c r="C56" s="88" t="s">
        <v>940</v>
      </c>
      <c r="D56" s="85" t="s">
        <v>562</v>
      </c>
      <c r="E56" s="86" t="s">
        <v>123</v>
      </c>
    </row>
    <row r="57" spans="1:5" x14ac:dyDescent="0.35">
      <c r="A57" s="88" t="s">
        <v>889</v>
      </c>
      <c r="B57" s="88" t="s">
        <v>394</v>
      </c>
      <c r="C57" s="88" t="s">
        <v>941</v>
      </c>
      <c r="D57" s="85" t="s">
        <v>563</v>
      </c>
      <c r="E57" s="86" t="s">
        <v>124</v>
      </c>
    </row>
    <row r="58" spans="1:5" x14ac:dyDescent="0.35">
      <c r="A58" s="88" t="s">
        <v>788</v>
      </c>
      <c r="B58" s="88" t="s">
        <v>395</v>
      </c>
      <c r="C58" s="88" t="s">
        <v>955</v>
      </c>
      <c r="D58" s="85" t="s">
        <v>564</v>
      </c>
      <c r="E58" s="86" t="s">
        <v>125</v>
      </c>
    </row>
    <row r="59" spans="1:5" x14ac:dyDescent="0.35">
      <c r="A59" s="88" t="s">
        <v>788</v>
      </c>
      <c r="B59" s="88" t="s">
        <v>378</v>
      </c>
      <c r="C59" s="88" t="s">
        <v>953</v>
      </c>
      <c r="D59" s="85" t="s">
        <v>104</v>
      </c>
      <c r="E59" s="86" t="s">
        <v>109</v>
      </c>
    </row>
    <row r="60" spans="1:5" x14ac:dyDescent="0.35">
      <c r="A60" s="88" t="s">
        <v>788</v>
      </c>
      <c r="B60" s="88" t="s">
        <v>379</v>
      </c>
      <c r="C60" s="88" t="s">
        <v>950</v>
      </c>
      <c r="D60" s="85" t="s">
        <v>106</v>
      </c>
      <c r="E60" s="86" t="s">
        <v>947</v>
      </c>
    </row>
    <row r="61" spans="1:5" x14ac:dyDescent="0.35">
      <c r="A61" s="88" t="s">
        <v>788</v>
      </c>
      <c r="B61" s="88" t="s">
        <v>380</v>
      </c>
      <c r="C61" s="88" t="s">
        <v>951</v>
      </c>
      <c r="D61" s="85" t="s">
        <v>107</v>
      </c>
      <c r="E61" s="86" t="s">
        <v>107</v>
      </c>
    </row>
    <row r="62" spans="1:5" x14ac:dyDescent="0.35">
      <c r="A62" s="88" t="s">
        <v>788</v>
      </c>
      <c r="B62" s="88" t="s">
        <v>381</v>
      </c>
      <c r="C62" s="88" t="s">
        <v>957</v>
      </c>
      <c r="D62" s="85" t="s">
        <v>108</v>
      </c>
      <c r="E62" s="86" t="s">
        <v>106</v>
      </c>
    </row>
    <row r="63" spans="1:5" x14ac:dyDescent="0.35">
      <c r="A63" s="88" t="s">
        <v>788</v>
      </c>
      <c r="B63" s="88" t="s">
        <v>382</v>
      </c>
      <c r="C63" s="88" t="s">
        <v>952</v>
      </c>
      <c r="D63" s="85" t="s">
        <v>109</v>
      </c>
      <c r="E63" s="86" t="s">
        <v>108</v>
      </c>
    </row>
    <row r="64" spans="1:5" x14ac:dyDescent="0.35">
      <c r="A64" s="88" t="s">
        <v>788</v>
      </c>
      <c r="B64" s="88"/>
      <c r="C64" s="88" t="s">
        <v>954</v>
      </c>
      <c r="D64" s="85"/>
      <c r="E64" s="86" t="s">
        <v>423</v>
      </c>
    </row>
    <row r="65" spans="1:5" x14ac:dyDescent="0.35">
      <c r="A65" s="88" t="s">
        <v>788</v>
      </c>
      <c r="B65" s="88"/>
      <c r="C65" s="88" t="s">
        <v>954</v>
      </c>
      <c r="D65" s="85"/>
      <c r="E65" s="86" t="s">
        <v>561</v>
      </c>
    </row>
    <row r="66" spans="1:5" x14ac:dyDescent="0.35">
      <c r="A66" s="89" t="s">
        <v>605</v>
      </c>
      <c r="B66" s="83" t="s">
        <v>606</v>
      </c>
      <c r="C66" s="83"/>
      <c r="D66" s="85" t="s">
        <v>437</v>
      </c>
      <c r="E66" s="85"/>
    </row>
    <row r="67" spans="1:5" x14ac:dyDescent="0.35">
      <c r="A67" s="89" t="s">
        <v>648</v>
      </c>
      <c r="B67" s="83" t="s">
        <v>649</v>
      </c>
      <c r="C67" s="83"/>
      <c r="D67" s="90" t="s">
        <v>446</v>
      </c>
      <c r="E67" s="90"/>
    </row>
    <row r="68" spans="1:5" x14ac:dyDescent="0.35">
      <c r="A68" s="89" t="s">
        <v>654</v>
      </c>
      <c r="B68" s="83" t="s">
        <v>650</v>
      </c>
      <c r="C68" s="83"/>
      <c r="D68" s="90" t="s">
        <v>447</v>
      </c>
      <c r="E68" s="90"/>
    </row>
    <row r="69" spans="1:5" x14ac:dyDescent="0.35">
      <c r="A69" s="89" t="s">
        <v>655</v>
      </c>
      <c r="B69" s="83" t="s">
        <v>651</v>
      </c>
      <c r="C69" s="83"/>
      <c r="D69" s="90" t="s">
        <v>448</v>
      </c>
      <c r="E69" s="90"/>
    </row>
    <row r="70" spans="1:5" x14ac:dyDescent="0.35">
      <c r="A70" s="89" t="s">
        <v>656</v>
      </c>
      <c r="B70" s="83" t="s">
        <v>652</v>
      </c>
      <c r="C70" s="83"/>
      <c r="D70" s="90" t="s">
        <v>443</v>
      </c>
      <c r="E70" s="90"/>
    </row>
    <row r="71" spans="1:5" x14ac:dyDescent="0.35">
      <c r="A71" s="89" t="s">
        <v>657</v>
      </c>
      <c r="B71" s="83" t="s">
        <v>653</v>
      </c>
      <c r="C71" s="83"/>
      <c r="D71" s="90" t="s">
        <v>444</v>
      </c>
      <c r="E71" s="90"/>
    </row>
    <row r="72" spans="1:5" x14ac:dyDescent="0.35">
      <c r="A72" s="89" t="s">
        <v>800</v>
      </c>
      <c r="B72" s="89" t="s">
        <v>338</v>
      </c>
      <c r="C72" s="89"/>
      <c r="D72" s="90" t="s">
        <v>445</v>
      </c>
      <c r="E72" s="90"/>
    </row>
    <row r="73" spans="1:5" x14ac:dyDescent="0.35">
      <c r="A73" s="89" t="s">
        <v>801</v>
      </c>
      <c r="B73" s="89" t="s">
        <v>339</v>
      </c>
      <c r="C73" s="89"/>
      <c r="D73" s="90" t="s">
        <v>452</v>
      </c>
      <c r="E73" s="90"/>
    </row>
    <row r="74" spans="1:5" x14ac:dyDescent="0.35">
      <c r="A74" s="89" t="s">
        <v>802</v>
      </c>
      <c r="B74" s="89" t="s">
        <v>340</v>
      </c>
      <c r="C74" s="89"/>
      <c r="D74" s="90" t="s">
        <v>453</v>
      </c>
      <c r="E74" s="90"/>
    </row>
    <row r="75" spans="1:5" x14ac:dyDescent="0.35">
      <c r="A75" s="89" t="s">
        <v>803</v>
      </c>
      <c r="B75" s="89" t="s">
        <v>341</v>
      </c>
      <c r="C75" s="89"/>
      <c r="D75" s="85" t="s">
        <v>454</v>
      </c>
      <c r="E75" s="85"/>
    </row>
    <row r="76" spans="1:5" x14ac:dyDescent="0.35">
      <c r="A76" s="89" t="s">
        <v>804</v>
      </c>
      <c r="B76" s="89" t="s">
        <v>342</v>
      </c>
      <c r="C76" s="89"/>
      <c r="D76" s="85" t="s">
        <v>455</v>
      </c>
      <c r="E76" s="85"/>
    </row>
    <row r="77" spans="1:5" x14ac:dyDescent="0.35">
      <c r="A77" s="85" t="s">
        <v>483</v>
      </c>
      <c r="B77" s="89" t="s">
        <v>484</v>
      </c>
      <c r="C77" s="89"/>
      <c r="D77" s="85" t="s">
        <v>438</v>
      </c>
      <c r="E77" s="85"/>
    </row>
    <row r="78" spans="1:5" x14ac:dyDescent="0.35">
      <c r="A78" s="89" t="s">
        <v>805</v>
      </c>
      <c r="B78" s="89" t="s">
        <v>343</v>
      </c>
      <c r="C78" s="89"/>
      <c r="D78" s="85" t="s">
        <v>456</v>
      </c>
      <c r="E78" s="85"/>
    </row>
    <row r="79" spans="1:5" x14ac:dyDescent="0.35">
      <c r="A79" s="89" t="s">
        <v>806</v>
      </c>
      <c r="B79" s="89" t="s">
        <v>344</v>
      </c>
      <c r="C79" s="89"/>
      <c r="D79" s="85" t="s">
        <v>457</v>
      </c>
      <c r="E79" s="85"/>
    </row>
    <row r="80" spans="1:5" x14ac:dyDescent="0.35">
      <c r="A80" s="89" t="s">
        <v>807</v>
      </c>
      <c r="B80" s="89" t="s">
        <v>345</v>
      </c>
      <c r="C80" s="89"/>
      <c r="D80" s="85" t="s">
        <v>458</v>
      </c>
      <c r="E80" s="85"/>
    </row>
    <row r="81" spans="1:5" x14ac:dyDescent="0.35">
      <c r="A81" s="89" t="s">
        <v>808</v>
      </c>
      <c r="B81" s="89" t="s">
        <v>346</v>
      </c>
      <c r="C81" s="89"/>
      <c r="D81" s="85" t="s">
        <v>459</v>
      </c>
      <c r="E81" s="85"/>
    </row>
    <row r="82" spans="1:5" x14ac:dyDescent="0.35">
      <c r="A82" s="89" t="s">
        <v>809</v>
      </c>
      <c r="B82" s="89" t="s">
        <v>347</v>
      </c>
      <c r="C82" s="89"/>
      <c r="D82" s="85" t="s">
        <v>460</v>
      </c>
      <c r="E82" s="85"/>
    </row>
    <row r="83" spans="1:5" x14ac:dyDescent="0.35">
      <c r="A83" s="89" t="s">
        <v>603</v>
      </c>
      <c r="B83" s="83" t="s">
        <v>604</v>
      </c>
      <c r="C83" s="83"/>
      <c r="D83" s="85" t="s">
        <v>439</v>
      </c>
      <c r="E83" s="85"/>
    </row>
    <row r="84" spans="1:5" x14ac:dyDescent="0.35">
      <c r="A84" s="89" t="s">
        <v>601</v>
      </c>
      <c r="B84" s="83" t="s">
        <v>602</v>
      </c>
      <c r="C84" s="83"/>
      <c r="D84" s="85" t="s">
        <v>440</v>
      </c>
      <c r="E84" s="85"/>
    </row>
    <row r="85" spans="1:5" x14ac:dyDescent="0.35">
      <c r="A85" s="85" t="s">
        <v>485</v>
      </c>
      <c r="B85" s="89" t="s">
        <v>486</v>
      </c>
      <c r="C85" s="89"/>
      <c r="D85" s="85" t="s">
        <v>441</v>
      </c>
      <c r="E85" s="85"/>
    </row>
    <row r="86" spans="1:5" x14ac:dyDescent="0.35">
      <c r="A86" s="85" t="s">
        <v>487</v>
      </c>
      <c r="B86" s="89" t="s">
        <v>488</v>
      </c>
      <c r="C86" s="89"/>
      <c r="D86" s="85" t="s">
        <v>442</v>
      </c>
      <c r="E86" s="85"/>
    </row>
    <row r="87" spans="1:5" x14ac:dyDescent="0.35">
      <c r="A87" s="89" t="s">
        <v>642</v>
      </c>
      <c r="B87" s="83" t="s">
        <v>643</v>
      </c>
      <c r="C87" s="83"/>
      <c r="D87" s="85" t="s">
        <v>449</v>
      </c>
      <c r="E87" s="85"/>
    </row>
    <row r="88" spans="1:5" x14ac:dyDescent="0.35">
      <c r="A88" s="89" t="s">
        <v>646</v>
      </c>
      <c r="B88" s="83" t="s">
        <v>644</v>
      </c>
      <c r="C88" s="83"/>
      <c r="D88" s="90" t="s">
        <v>450</v>
      </c>
      <c r="E88" s="90"/>
    </row>
    <row r="89" spans="1:5" x14ac:dyDescent="0.35">
      <c r="A89" s="89" t="s">
        <v>647</v>
      </c>
      <c r="B89" s="83" t="s">
        <v>645</v>
      </c>
      <c r="C89" s="83"/>
      <c r="D89" s="90" t="s">
        <v>451</v>
      </c>
      <c r="E89" s="90"/>
    </row>
    <row r="90" spans="1:5" x14ac:dyDescent="0.35">
      <c r="A90" s="88" t="s">
        <v>890</v>
      </c>
      <c r="B90" s="88" t="s">
        <v>130</v>
      </c>
      <c r="C90" s="88"/>
      <c r="D90" s="86" t="s">
        <v>128</v>
      </c>
      <c r="E90" s="86"/>
    </row>
    <row r="91" spans="1:5" x14ac:dyDescent="0.35">
      <c r="A91" s="88" t="s">
        <v>890</v>
      </c>
      <c r="B91" s="88" t="s">
        <v>132</v>
      </c>
      <c r="C91" s="88"/>
      <c r="D91" s="85" t="s">
        <v>131</v>
      </c>
      <c r="E91" s="85"/>
    </row>
    <row r="92" spans="1:5" x14ac:dyDescent="0.35">
      <c r="A92" s="88" t="s">
        <v>890</v>
      </c>
      <c r="B92" s="88" t="s">
        <v>130</v>
      </c>
      <c r="C92" s="88"/>
      <c r="D92" s="85" t="s">
        <v>133</v>
      </c>
      <c r="E92" s="85"/>
    </row>
    <row r="93" spans="1:5" x14ac:dyDescent="0.35">
      <c r="A93" s="88" t="s">
        <v>890</v>
      </c>
      <c r="B93" s="88" t="s">
        <v>130</v>
      </c>
      <c r="C93" s="88"/>
      <c r="D93" s="85" t="s">
        <v>664</v>
      </c>
      <c r="E93" s="85"/>
    </row>
    <row r="94" spans="1:5" x14ac:dyDescent="0.35">
      <c r="A94" s="88" t="s">
        <v>667</v>
      </c>
      <c r="B94" s="83" t="s">
        <v>668</v>
      </c>
      <c r="C94" s="83"/>
      <c r="D94" s="85" t="s">
        <v>134</v>
      </c>
      <c r="E94" s="85"/>
    </row>
    <row r="95" spans="1:5" x14ac:dyDescent="0.35">
      <c r="A95" s="88" t="s">
        <v>669</v>
      </c>
      <c r="B95" s="83" t="s">
        <v>670</v>
      </c>
      <c r="C95" s="83"/>
      <c r="D95" s="85" t="s">
        <v>135</v>
      </c>
      <c r="E95" s="85"/>
    </row>
    <row r="96" spans="1:5" x14ac:dyDescent="0.35">
      <c r="A96" s="88" t="s">
        <v>672</v>
      </c>
      <c r="B96" s="83" t="s">
        <v>671</v>
      </c>
      <c r="C96" s="83"/>
      <c r="D96" s="86" t="s">
        <v>136</v>
      </c>
      <c r="E96" s="86"/>
    </row>
    <row r="97" spans="1:5" x14ac:dyDescent="0.35">
      <c r="A97" s="88" t="s">
        <v>674</v>
      </c>
      <c r="B97" s="83" t="s">
        <v>673</v>
      </c>
      <c r="C97" s="83"/>
      <c r="D97" s="86" t="s">
        <v>137</v>
      </c>
      <c r="E97" s="86"/>
    </row>
    <row r="98" spans="1:5" x14ac:dyDescent="0.35">
      <c r="A98" s="88" t="s">
        <v>676</v>
      </c>
      <c r="B98" s="83" t="s">
        <v>675</v>
      </c>
      <c r="C98" s="83"/>
      <c r="D98" s="85" t="s">
        <v>138</v>
      </c>
      <c r="E98" s="85"/>
    </row>
    <row r="99" spans="1:5" x14ac:dyDescent="0.35">
      <c r="A99" s="88" t="s">
        <v>677</v>
      </c>
      <c r="B99" s="83" t="s">
        <v>678</v>
      </c>
      <c r="C99" s="83"/>
      <c r="D99" s="85" t="s">
        <v>434</v>
      </c>
      <c r="E99" s="85"/>
    </row>
    <row r="100" spans="1:5" x14ac:dyDescent="0.35">
      <c r="A100" s="91" t="s">
        <v>478</v>
      </c>
      <c r="B100" s="92" t="s">
        <v>479</v>
      </c>
      <c r="C100" s="92"/>
      <c r="D100" s="85" t="s">
        <v>435</v>
      </c>
      <c r="E100" s="85"/>
    </row>
    <row r="101" spans="1:5" x14ac:dyDescent="0.35">
      <c r="A101" s="92" t="s">
        <v>478</v>
      </c>
      <c r="B101" s="92" t="s">
        <v>397</v>
      </c>
      <c r="C101" s="92"/>
      <c r="D101" s="85" t="s">
        <v>436</v>
      </c>
      <c r="E101" s="85"/>
    </row>
    <row r="102" spans="1:5" x14ac:dyDescent="0.35">
      <c r="A102" s="88" t="s">
        <v>789</v>
      </c>
      <c r="B102" s="88" t="s">
        <v>141</v>
      </c>
      <c r="C102" s="88"/>
      <c r="D102" s="85" t="s">
        <v>139</v>
      </c>
      <c r="E102" s="85"/>
    </row>
    <row r="103" spans="1:5" x14ac:dyDescent="0.35">
      <c r="A103" s="88" t="s">
        <v>480</v>
      </c>
      <c r="B103" s="88" t="s">
        <v>157</v>
      </c>
      <c r="C103" s="88"/>
      <c r="D103" s="85" t="s">
        <v>156</v>
      </c>
      <c r="E103" s="85"/>
    </row>
    <row r="104" spans="1:5" x14ac:dyDescent="0.35">
      <c r="A104" s="91" t="s">
        <v>480</v>
      </c>
      <c r="B104" s="93" t="s">
        <v>481</v>
      </c>
      <c r="C104" s="93"/>
      <c r="D104" s="91" t="s">
        <v>158</v>
      </c>
      <c r="E104" s="91"/>
    </row>
    <row r="105" spans="1:5" x14ac:dyDescent="0.35">
      <c r="A105" s="88" t="s">
        <v>891</v>
      </c>
      <c r="B105" s="88" t="s">
        <v>160</v>
      </c>
      <c r="C105" s="88"/>
      <c r="D105" s="85" t="s">
        <v>159</v>
      </c>
      <c r="E105" s="85"/>
    </row>
    <row r="106" spans="1:5" x14ac:dyDescent="0.35">
      <c r="A106" s="88" t="s">
        <v>891</v>
      </c>
      <c r="B106" s="88" t="s">
        <v>160</v>
      </c>
      <c r="C106" s="88"/>
      <c r="D106" s="85" t="s">
        <v>161</v>
      </c>
      <c r="E106" s="85"/>
    </row>
    <row r="107" spans="1:5" x14ac:dyDescent="0.35">
      <c r="A107" s="88" t="s">
        <v>892</v>
      </c>
      <c r="B107" s="88" t="s">
        <v>30</v>
      </c>
      <c r="C107" s="88"/>
      <c r="D107" s="85" t="s">
        <v>142</v>
      </c>
      <c r="E107" s="85"/>
    </row>
    <row r="108" spans="1:5" x14ac:dyDescent="0.35">
      <c r="A108" s="88" t="s">
        <v>892</v>
      </c>
      <c r="B108" s="88" t="s">
        <v>30</v>
      </c>
      <c r="C108" s="88"/>
      <c r="D108" s="85" t="s">
        <v>143</v>
      </c>
      <c r="E108" s="85"/>
    </row>
    <row r="109" spans="1:5" x14ac:dyDescent="0.35">
      <c r="A109" s="88" t="s">
        <v>893</v>
      </c>
      <c r="B109" s="88" t="s">
        <v>145</v>
      </c>
      <c r="C109" s="88"/>
      <c r="D109" s="85" t="s">
        <v>144</v>
      </c>
      <c r="E109" s="85"/>
    </row>
    <row r="110" spans="1:5" x14ac:dyDescent="0.35">
      <c r="A110" s="88" t="s">
        <v>894</v>
      </c>
      <c r="B110" s="88" t="s">
        <v>147</v>
      </c>
      <c r="C110" s="88"/>
      <c r="D110" s="85" t="s">
        <v>146</v>
      </c>
      <c r="E110" s="85"/>
    </row>
    <row r="111" spans="1:5" x14ac:dyDescent="0.35">
      <c r="A111" s="88" t="s">
        <v>895</v>
      </c>
      <c r="B111" s="88" t="s">
        <v>149</v>
      </c>
      <c r="C111" s="88"/>
      <c r="D111" s="85" t="s">
        <v>148</v>
      </c>
      <c r="E111" s="85"/>
    </row>
    <row r="112" spans="1:5" x14ac:dyDescent="0.35">
      <c r="A112" s="88" t="s">
        <v>896</v>
      </c>
      <c r="B112" s="88" t="s">
        <v>151</v>
      </c>
      <c r="C112" s="88"/>
      <c r="D112" s="85" t="s">
        <v>150</v>
      </c>
      <c r="E112" s="85"/>
    </row>
    <row r="113" spans="1:5" x14ac:dyDescent="0.35">
      <c r="A113" s="88" t="s">
        <v>897</v>
      </c>
      <c r="B113" s="88" t="s">
        <v>153</v>
      </c>
      <c r="C113" s="88"/>
      <c r="D113" s="85" t="s">
        <v>152</v>
      </c>
      <c r="E113" s="85"/>
    </row>
    <row r="114" spans="1:5" x14ac:dyDescent="0.35">
      <c r="A114" s="88" t="s">
        <v>789</v>
      </c>
      <c r="B114" s="88" t="s">
        <v>155</v>
      </c>
      <c r="C114" s="88"/>
      <c r="D114" s="85" t="s">
        <v>154</v>
      </c>
      <c r="E114" s="85"/>
    </row>
  </sheetData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4</vt:i4>
      </vt:variant>
    </vt:vector>
  </HeadingPairs>
  <TitlesOfParts>
    <vt:vector size="17" baseType="lpstr">
      <vt:lpstr>CERTIFICACIÓN REV 1</vt:lpstr>
      <vt:lpstr>CORRECTIVOS</vt:lpstr>
      <vt:lpstr>BASE AA</vt:lpstr>
      <vt:lpstr>PROG AA</vt:lpstr>
      <vt:lpstr> avisos AA </vt:lpstr>
      <vt:lpstr>BASE ELEC</vt:lpstr>
      <vt:lpstr>Avisos Elec</vt:lpstr>
      <vt:lpstr>BASE GE</vt:lpstr>
      <vt:lpstr>Avisos Generadores </vt:lpstr>
      <vt:lpstr>recursos</vt:lpstr>
      <vt:lpstr>Digicard</vt:lpstr>
      <vt:lpstr>PARA AVISOS</vt:lpstr>
      <vt:lpstr>Hoja1</vt:lpstr>
      <vt:lpstr>'BASE AA'!Área_de_impresión</vt:lpstr>
      <vt:lpstr>'BASE ELEC'!Área_de_impresión</vt:lpstr>
      <vt:lpstr>Hoja1!Área_de_impresión</vt:lpstr>
      <vt:lpstr>'BASE ELEC'!Criterios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2026-04-06T16:53:21Z</dcterms:modified>
</cp:coreProperties>
</file>